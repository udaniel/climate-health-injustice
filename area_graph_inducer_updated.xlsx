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a\OneDrive\Desktop\New folder\"/>
    </mc:Choice>
  </mc:AlternateContent>
  <xr:revisionPtr revIDLastSave="0" documentId="13_ncr:1_{0FDF3F44-4A94-4BF1-9F16-2889AD17CA2F}" xr6:coauthVersionLast="47" xr6:coauthVersionMax="47" xr10:uidLastSave="{00000000-0000-0000-0000-000000000000}"/>
  <bookViews>
    <workbookView xWindow="-110" yWindow="-110" windowWidth="19420" windowHeight="11500" xr2:uid="{7CFCD0D7-3685-4BAE-802A-DD3595AFBFB6}"/>
  </bookViews>
  <sheets>
    <sheet name="Inducer_perspective" sheetId="1" r:id="rId1"/>
  </sheets>
  <externalReferences>
    <externalReference r:id="rId2"/>
  </externalReferences>
  <definedNames>
    <definedName name="_xlnm._FilterDatabase" localSheetId="0" hidden="1">Inducer_perspective!$B$2:$L$52</definedName>
    <definedName name="cutoff">[1]varWidth_stacked_adjust!$L$6</definedName>
    <definedName name="da">#REF!</definedName>
    <definedName name="data2">[1]varWidth_stacked_adjust!$B$6:$J$55</definedName>
    <definedName name="dataSource" localSheetId="0">Inducer_perspective!$B$3:$L$9</definedName>
    <definedName name="dataSource">#REF!</definedName>
    <definedName name="multiplier">[1]varWidth_stacked_adjust!$F$2</definedName>
    <definedName name="other_text">[1]varWidth_stacked_adjust!$O$2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3" i="1" l="1"/>
  <c r="K3" i="1" l="1"/>
  <c r="L3" i="1" s="1"/>
  <c r="K4" i="1"/>
  <c r="L4" i="1" s="1"/>
  <c r="K5" i="1"/>
  <c r="L5" i="1"/>
  <c r="K6" i="1"/>
  <c r="L6" i="1" s="1"/>
  <c r="K7" i="1"/>
  <c r="L7" i="1" s="1"/>
  <c r="K8" i="1"/>
  <c r="L8" i="1" s="1"/>
  <c r="K9" i="1"/>
  <c r="L9" i="1"/>
  <c r="AG7" i="1"/>
  <c r="Q24" i="1"/>
  <c r="AA23" i="1"/>
  <c r="X23" i="1"/>
  <c r="W23" i="1"/>
  <c r="Q23" i="1"/>
  <c r="Z23" i="1" s="1"/>
  <c r="Q22" i="1"/>
  <c r="Q21" i="1"/>
  <c r="Q20" i="1"/>
  <c r="Q19" i="1"/>
  <c r="Q18" i="1"/>
  <c r="Q17" i="1"/>
  <c r="Q16" i="1"/>
  <c r="Q15" i="1"/>
  <c r="C15" i="1"/>
  <c r="V14" i="1"/>
  <c r="U14" i="1"/>
  <c r="Q14" i="1"/>
  <c r="Y14" i="1" s="1"/>
  <c r="Q13" i="1"/>
  <c r="Q12" i="1"/>
  <c r="AA11" i="1"/>
  <c r="Y11" i="1"/>
  <c r="X11" i="1"/>
  <c r="W11" i="1"/>
  <c r="U11" i="1"/>
  <c r="Q11" i="1"/>
  <c r="Z11" i="1" s="1"/>
  <c r="Q10" i="1"/>
  <c r="AH9" i="1"/>
  <c r="Q9" i="1"/>
  <c r="AH8" i="1"/>
  <c r="Y8" i="1"/>
  <c r="Q8" i="1"/>
  <c r="U8" i="1" s="1"/>
  <c r="AH7" i="1"/>
  <c r="Q7" i="1"/>
  <c r="AH6" i="1"/>
  <c r="Q6" i="1"/>
  <c r="AH5" i="1"/>
  <c r="W5" i="1"/>
  <c r="Q5" i="1"/>
  <c r="AA5" i="1" s="1"/>
  <c r="AH4" i="1"/>
  <c r="AG4" i="1"/>
  <c r="AE4" i="1"/>
  <c r="AF4" i="1" s="1"/>
  <c r="V4" i="1"/>
  <c r="U4" i="1"/>
  <c r="Q4" i="1"/>
  <c r="P4" i="1"/>
  <c r="AH3" i="1"/>
  <c r="AG3" i="1"/>
  <c r="AF3" i="1"/>
  <c r="AC3" i="1"/>
  <c r="AA3" i="1"/>
  <c r="Z3" i="1"/>
  <c r="Y3" i="1"/>
  <c r="X3" i="1"/>
  <c r="W3" i="1"/>
  <c r="V3" i="1"/>
  <c r="U3" i="1"/>
  <c r="AA2" i="1"/>
  <c r="Z2" i="1"/>
  <c r="Y2" i="1"/>
  <c r="X2" i="1"/>
  <c r="W2" i="1"/>
  <c r="V2" i="1"/>
  <c r="U2" i="1"/>
  <c r="AA1" i="1"/>
  <c r="Z1" i="1"/>
  <c r="Y1" i="1"/>
  <c r="X1" i="1"/>
  <c r="W1" i="1"/>
  <c r="V1" i="1"/>
  <c r="U1" i="1"/>
  <c r="T1" i="1"/>
  <c r="R1" i="1"/>
  <c r="AG8" i="1" l="1"/>
  <c r="AG6" i="1"/>
  <c r="Y4" i="1"/>
  <c r="AB3" i="1"/>
  <c r="AG5" i="1"/>
  <c r="X17" i="1"/>
  <c r="AA17" i="1"/>
  <c r="W17" i="1"/>
  <c r="Y20" i="1"/>
  <c r="U20" i="1"/>
  <c r="AA20" i="1"/>
  <c r="X20" i="1"/>
  <c r="W20" i="1"/>
  <c r="U17" i="1"/>
  <c r="Y24" i="1"/>
  <c r="U24" i="1"/>
  <c r="X24" i="1"/>
  <c r="AA24" i="1"/>
  <c r="W24" i="1"/>
  <c r="R4" i="1"/>
  <c r="T4" i="1" s="1"/>
  <c r="AC4" i="1" s="1"/>
  <c r="AG9" i="1"/>
  <c r="V17" i="1"/>
  <c r="Z20" i="1"/>
  <c r="V24" i="1"/>
  <c r="Z17" i="1"/>
  <c r="Y5" i="1"/>
  <c r="U5" i="1"/>
  <c r="P5" i="1"/>
  <c r="X5" i="1"/>
  <c r="Z5" i="1"/>
  <c r="X8" i="1"/>
  <c r="AA8" i="1"/>
  <c r="W8" i="1"/>
  <c r="Z8" i="1"/>
  <c r="V20" i="1"/>
  <c r="X4" i="1"/>
  <c r="AA4" i="1"/>
  <c r="W4" i="1"/>
  <c r="Z4" i="1"/>
  <c r="V5" i="1"/>
  <c r="AE5" i="1"/>
  <c r="V8" i="1"/>
  <c r="X14" i="1"/>
  <c r="AA14" i="1"/>
  <c r="W14" i="1"/>
  <c r="Z14" i="1"/>
  <c r="Y17" i="1"/>
  <c r="Z24" i="1"/>
  <c r="P6" i="1"/>
  <c r="V11" i="1"/>
  <c r="AB11" i="1" s="1"/>
  <c r="U23" i="1"/>
  <c r="Y23" i="1"/>
  <c r="V23" i="1"/>
  <c r="AB8" i="1" l="1"/>
  <c r="AB4" i="1"/>
  <c r="AB14" i="1"/>
  <c r="AB24" i="1"/>
  <c r="AE6" i="1"/>
  <c r="AF5" i="1"/>
  <c r="AB23" i="1"/>
  <c r="AB5" i="1"/>
  <c r="AB20" i="1"/>
  <c r="R6" i="1"/>
  <c r="P7" i="1"/>
  <c r="T5" i="1"/>
  <c r="AC5" i="1" s="1"/>
  <c r="R5" i="1"/>
  <c r="AB17" i="1"/>
  <c r="T6" i="1" l="1"/>
  <c r="AC6" i="1" s="1"/>
  <c r="R7" i="1"/>
  <c r="T7" i="1" s="1"/>
  <c r="AC7" i="1" s="1"/>
  <c r="P8" i="1"/>
  <c r="AE7" i="1"/>
  <c r="AF6" i="1"/>
  <c r="T8" i="1" l="1"/>
  <c r="AC8" i="1" s="1"/>
  <c r="R8" i="1"/>
  <c r="P9" i="1"/>
  <c r="AF7" i="1"/>
  <c r="AE8" i="1"/>
  <c r="W6" i="1"/>
  <c r="W7" i="1" s="1"/>
  <c r="AA6" i="1"/>
  <c r="AA7" i="1" s="1"/>
  <c r="X6" i="1"/>
  <c r="X7" i="1" s="1"/>
  <c r="Y6" i="1"/>
  <c r="Y7" i="1" s="1"/>
  <c r="V6" i="1"/>
  <c r="V7" i="1" s="1"/>
  <c r="U6" i="1"/>
  <c r="Z6" i="1"/>
  <c r="Z7" i="1" s="1"/>
  <c r="U7" i="1" l="1"/>
  <c r="AB7" i="1" s="1"/>
  <c r="AB6" i="1"/>
  <c r="T9" i="1"/>
  <c r="AC9" i="1" s="1"/>
  <c r="P10" i="1"/>
  <c r="R9" i="1"/>
  <c r="AF8" i="1"/>
  <c r="AE9" i="1"/>
  <c r="AF9" i="1" s="1"/>
  <c r="R10" i="1" l="1"/>
  <c r="P11" i="1"/>
  <c r="V9" i="1" l="1"/>
  <c r="V10" i="1" s="1"/>
  <c r="AA9" i="1"/>
  <c r="AA10" i="1" s="1"/>
  <c r="X9" i="1"/>
  <c r="X10" i="1" s="1"/>
  <c r="U9" i="1"/>
  <c r="Y9" i="1"/>
  <c r="Y10" i="1" s="1"/>
  <c r="Z9" i="1"/>
  <c r="Z10" i="1" s="1"/>
  <c r="W9" i="1"/>
  <c r="W10" i="1" s="1"/>
  <c r="R11" i="1"/>
  <c r="P12" i="1"/>
  <c r="T10" i="1"/>
  <c r="AC10" i="1" s="1"/>
  <c r="R12" i="1" l="1"/>
  <c r="P13" i="1"/>
  <c r="AB9" i="1"/>
  <c r="U10" i="1"/>
  <c r="AB10" i="1" s="1"/>
  <c r="T11" i="1"/>
  <c r="AC11" i="1" s="1"/>
  <c r="R13" i="1" l="1"/>
  <c r="P14" i="1"/>
  <c r="T12" i="1"/>
  <c r="AC12" i="1" s="1"/>
  <c r="X12" i="1" l="1"/>
  <c r="X13" i="1" s="1"/>
  <c r="W12" i="1"/>
  <c r="W13" i="1" s="1"/>
  <c r="AA12" i="1"/>
  <c r="AA13" i="1" s="1"/>
  <c r="U12" i="1"/>
  <c r="Y12" i="1"/>
  <c r="Y13" i="1" s="1"/>
  <c r="V12" i="1"/>
  <c r="V13" i="1" s="1"/>
  <c r="Z12" i="1"/>
  <c r="Z13" i="1" s="1"/>
  <c r="R14" i="1"/>
  <c r="P15" i="1"/>
  <c r="T13" i="1"/>
  <c r="AC13" i="1" s="1"/>
  <c r="T14" i="1" l="1"/>
  <c r="AC14" i="1" s="1"/>
  <c r="R15" i="1"/>
  <c r="T15" i="1"/>
  <c r="AC15" i="1" s="1"/>
  <c r="P16" i="1"/>
  <c r="AB12" i="1"/>
  <c r="U13" i="1"/>
  <c r="AB13" i="1" s="1"/>
  <c r="R16" i="1" l="1"/>
  <c r="P17" i="1"/>
  <c r="R17" i="1" l="1"/>
  <c r="P18" i="1"/>
  <c r="AA15" i="1"/>
  <c r="AA16" i="1" s="1"/>
  <c r="W15" i="1"/>
  <c r="W16" i="1" s="1"/>
  <c r="X15" i="1"/>
  <c r="X16" i="1" s="1"/>
  <c r="Z15" i="1"/>
  <c r="Z16" i="1" s="1"/>
  <c r="Y15" i="1"/>
  <c r="Y16" i="1" s="1"/>
  <c r="U15" i="1"/>
  <c r="V15" i="1"/>
  <c r="V16" i="1" s="1"/>
  <c r="T16" i="1"/>
  <c r="AC16" i="1" s="1"/>
  <c r="R18" i="1" l="1"/>
  <c r="P19" i="1"/>
  <c r="AB15" i="1"/>
  <c r="U16" i="1"/>
  <c r="AB16" i="1" s="1"/>
  <c r="T17" i="1"/>
  <c r="AC17" i="1" s="1"/>
  <c r="R19" i="1" l="1"/>
  <c r="P20" i="1"/>
  <c r="T18" i="1"/>
  <c r="AC18" i="1" s="1"/>
  <c r="R20" i="1" l="1"/>
  <c r="P21" i="1"/>
  <c r="AA18" i="1"/>
  <c r="AA19" i="1" s="1"/>
  <c r="W18" i="1"/>
  <c r="W19" i="1" s="1"/>
  <c r="U18" i="1"/>
  <c r="X18" i="1"/>
  <c r="X19" i="1" s="1"/>
  <c r="Y18" i="1"/>
  <c r="Y19" i="1" s="1"/>
  <c r="V18" i="1"/>
  <c r="V19" i="1" s="1"/>
  <c r="Z18" i="1"/>
  <c r="Z19" i="1" s="1"/>
  <c r="T19" i="1"/>
  <c r="AC19" i="1" s="1"/>
  <c r="R21" i="1" l="1"/>
  <c r="P22" i="1"/>
  <c r="AB18" i="1"/>
  <c r="U19" i="1"/>
  <c r="AB19" i="1" s="1"/>
  <c r="T20" i="1"/>
  <c r="AC20" i="1" s="1"/>
  <c r="R22" i="1" l="1"/>
  <c r="P23" i="1"/>
  <c r="T21" i="1"/>
  <c r="AC21" i="1" s="1"/>
  <c r="R23" i="1" l="1"/>
  <c r="P24" i="1"/>
  <c r="T22" i="1"/>
  <c r="AC22" i="1" s="1"/>
  <c r="Y21" i="1"/>
  <c r="Y22" i="1" s="1"/>
  <c r="U21" i="1"/>
  <c r="V21" i="1"/>
  <c r="V22" i="1" s="1"/>
  <c r="W21" i="1"/>
  <c r="W22" i="1" s="1"/>
  <c r="X21" i="1"/>
  <c r="X22" i="1" s="1"/>
  <c r="AA21" i="1"/>
  <c r="AA22" i="1" s="1"/>
  <c r="Z21" i="1"/>
  <c r="Z22" i="1" s="1"/>
  <c r="R24" i="1" l="1"/>
  <c r="AB21" i="1"/>
  <c r="U22" i="1"/>
  <c r="AB22" i="1" s="1"/>
  <c r="T23" i="1"/>
  <c r="AC23" i="1" s="1"/>
  <c r="T24" i="1" l="1"/>
  <c r="AC24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Andrew D. Henderson</author>
  </authors>
  <commentList>
    <comment ref="T3" authorId="0" shapeId="0" xr:uid="{635BA194-D7DC-4D04-B094-ADE08353824C}">
      <text>
        <r>
          <rPr>
            <b/>
            <sz val="9"/>
            <color indexed="81"/>
            <rFont val="Tahoma"/>
            <family val="2"/>
          </rPr>
          <t>Andrew D. Henderson:</t>
        </r>
        <r>
          <rPr>
            <sz val="9"/>
            <color indexed="81"/>
            <rFont val="Tahoma"/>
            <family val="2"/>
          </rPr>
          <t xml:space="preserve">
cumulative fraction
</t>
        </r>
      </text>
    </comment>
  </commentList>
</comments>
</file>

<file path=xl/sharedStrings.xml><?xml version="1.0" encoding="utf-8"?>
<sst xmlns="http://schemas.openxmlformats.org/spreadsheetml/2006/main" count="36" uniqueCount="26">
  <si>
    <t>x</t>
  </si>
  <si>
    <t>y</t>
  </si>
  <si>
    <t>y2</t>
  </si>
  <si>
    <t>col →</t>
  </si>
  <si>
    <t>Label</t>
  </si>
  <si>
    <t>population fraction %</t>
  </si>
  <si>
    <t>South Asia</t>
  </si>
  <si>
    <t>Europe &amp; Central Asia</t>
  </si>
  <si>
    <t>Middle East &amp; North Africa</t>
  </si>
  <si>
    <t>Sub-Saharan Africa</t>
  </si>
  <si>
    <t>Latin America &amp; Caribbean</t>
  </si>
  <si>
    <t>East Asia &amp; Pacific</t>
  </si>
  <si>
    <t>North America</t>
  </si>
  <si>
    <t>DALY per capita</t>
  </si>
  <si>
    <t>area</t>
  </si>
  <si>
    <t>number</t>
  </si>
  <si>
    <t>data num</t>
  </si>
  <si>
    <t>number mod</t>
  </si>
  <si>
    <t>label</t>
  </si>
  <si>
    <t>total y</t>
  </si>
  <si>
    <t>cumul. x</t>
  </si>
  <si>
    <t>label_x</t>
  </si>
  <si>
    <t>label_y</t>
  </si>
  <si>
    <t>n/a</t>
  </si>
  <si>
    <t>cumul x →</t>
  </si>
  <si>
    <t>xlookup example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</si>
</sst>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1" fontId="0" fillId="0" borderId="0" xfId="0" applyNumberFormat="1"/>
    <xf numFmtId="11" fontId="0" fillId="0" borderId="0" xfId="0" applyNumberFormat="1" applyAlignment="1">
      <alignment vertical="top" wrapText="1"/>
    </xf>
    <xf numFmtId="11" fontId="1" fillId="0" borderId="0" xfId="0" applyNumberFormat="1" applyFont="1"/>
    <xf numFmtId="11" fontId="2" fillId="0" borderId="0" xfId="0" applyNumberFormat="1" applyFont="1"/>
    <xf numFmtId="11" fontId="0" fillId="2" borderId="0" xfId="0" applyNumberFormat="1" applyFill="1"/>
  </cellXfs>
  <cellStyles count="1">
    <cellStyle name="Normal" xfId="0" builtinId="0"/>
  </cellStyles>
  <dxfs count="2"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da-DK"/>
              <a:t>Human</a:t>
            </a:r>
            <a:r>
              <a:rPr lang="da-DK" baseline="0"/>
              <a:t> health damage recieved per region [DALY/capita]</a:t>
            </a:r>
            <a:endParaRPr lang="en-DK" baseline="0"/>
          </a:p>
          <a:p>
            <a:pPr>
              <a:defRPr/>
            </a:pPr>
            <a:r>
              <a:rPr lang="en-DK" baseline="0"/>
              <a:t>Inducer perspective</a:t>
            </a:r>
            <a:endParaRPr lang="da-DK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DK"/>
        </a:p>
      </c:txPr>
    </c:title>
    <c:autoTitleDeleted val="0"/>
    <c:plotArea>
      <c:layout>
        <c:manualLayout>
          <c:layoutTarget val="inner"/>
          <c:xMode val="edge"/>
          <c:yMode val="edge"/>
          <c:x val="3.5077666042863942E-2"/>
          <c:y val="0.20681871768083246"/>
          <c:w val="0.93616910351045068"/>
          <c:h val="0.70672438142706462"/>
        </c:manualLayout>
      </c:layout>
      <c:areaChart>
        <c:grouping val="stacked"/>
        <c:varyColors val="0"/>
        <c:ser>
          <c:idx val="0"/>
          <c:order val="0"/>
          <c:tx>
            <c:strRef>
              <c:f>Inducer_perspective!$U$2</c:f>
              <c:strCache>
                <c:ptCount val="1"/>
                <c:pt idx="0">
                  <c:v>South Asia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cat>
            <c:numRef>
              <c:f>Inducer_perspective!$T$3:$T$24</c:f>
              <c:numCache>
                <c:formatCode>0.00E+00</c:formatCode>
                <c:ptCount val="22"/>
                <c:pt idx="0">
                  <c:v>0</c:v>
                </c:pt>
                <c:pt idx="1">
                  <c:v>14.326463902107992</c:v>
                </c:pt>
                <c:pt idx="2">
                  <c:v>14.326463902107992</c:v>
                </c:pt>
                <c:pt idx="3">
                  <c:v>14.326463902107992</c:v>
                </c:pt>
                <c:pt idx="4">
                  <c:v>39.135955478216921</c:v>
                </c:pt>
                <c:pt idx="5">
                  <c:v>39.135955478216921</c:v>
                </c:pt>
                <c:pt idx="6">
                  <c:v>39.135955478216921</c:v>
                </c:pt>
                <c:pt idx="7">
                  <c:v>44.532800943423936</c:v>
                </c:pt>
                <c:pt idx="8">
                  <c:v>44.532800943423936</c:v>
                </c:pt>
                <c:pt idx="9">
                  <c:v>44.532800943423936</c:v>
                </c:pt>
                <c:pt idx="10">
                  <c:v>75.043537481753745</c:v>
                </c:pt>
                <c:pt idx="11">
                  <c:v>75.043537481753745</c:v>
                </c:pt>
                <c:pt idx="12">
                  <c:v>75.043537481753745</c:v>
                </c:pt>
                <c:pt idx="13">
                  <c:v>83.148734643938866</c:v>
                </c:pt>
                <c:pt idx="14">
                  <c:v>83.148734643938866</c:v>
                </c:pt>
                <c:pt idx="15">
                  <c:v>83.148734643938866</c:v>
                </c:pt>
                <c:pt idx="16">
                  <c:v>95.152057205664974</c:v>
                </c:pt>
                <c:pt idx="17">
                  <c:v>95.152057205664974</c:v>
                </c:pt>
                <c:pt idx="18">
                  <c:v>95.152057205664974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</c:numCache>
            </c:numRef>
          </c:cat>
          <c:val>
            <c:numRef>
              <c:f>Inducer_perspective!$U$3:$U$24</c:f>
              <c:numCache>
                <c:formatCode>0.00E+00</c:formatCode>
                <c:ptCount val="22"/>
                <c:pt idx="0">
                  <c:v>2.3638521561145853E-3</c:v>
                </c:pt>
                <c:pt idx="1">
                  <c:v>2.3638521561145853E-3</c:v>
                </c:pt>
                <c:pt idx="2">
                  <c:v>0</c:v>
                </c:pt>
                <c:pt idx="3">
                  <c:v>3.1741319804097206E-3</c:v>
                </c:pt>
                <c:pt idx="4">
                  <c:v>3.1741319804097206E-3</c:v>
                </c:pt>
                <c:pt idx="5">
                  <c:v>0</c:v>
                </c:pt>
                <c:pt idx="6">
                  <c:v>7.5126334165585319E-3</c:v>
                </c:pt>
                <c:pt idx="7">
                  <c:v>7.5126334165585319E-3</c:v>
                </c:pt>
                <c:pt idx="8">
                  <c:v>0</c:v>
                </c:pt>
                <c:pt idx="9">
                  <c:v>1.3907582386636046E-2</c:v>
                </c:pt>
                <c:pt idx="10">
                  <c:v>1.3907582386636046E-2</c:v>
                </c:pt>
                <c:pt idx="11">
                  <c:v>0</c:v>
                </c:pt>
                <c:pt idx="12">
                  <c:v>1.4413061811999981E-2</c:v>
                </c:pt>
                <c:pt idx="13">
                  <c:v>1.4413061811999981E-2</c:v>
                </c:pt>
                <c:pt idx="14">
                  <c:v>0</c:v>
                </c:pt>
                <c:pt idx="15">
                  <c:v>1.6525676883147742E-2</c:v>
                </c:pt>
                <c:pt idx="16">
                  <c:v>1.6525676883147742E-2</c:v>
                </c:pt>
                <c:pt idx="17">
                  <c:v>0</c:v>
                </c:pt>
                <c:pt idx="18">
                  <c:v>3.9865608156262236E-2</c:v>
                </c:pt>
                <c:pt idx="19">
                  <c:v>3.9865608156262236E-2</c:v>
                </c:pt>
                <c:pt idx="20">
                  <c:v>0</c:v>
                </c:pt>
                <c:pt idx="21">
                  <c:v>3.9865608156262236E-2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6B-48C1-A07E-C299D5851D62}"/>
            </c:ext>
          </c:extLst>
        </c:ser>
        <c:ser>
          <c:idx val="1"/>
          <c:order val="1"/>
          <c:tx>
            <c:strRef>
              <c:f>Inducer_perspective!$V$2</c:f>
              <c:strCache>
                <c:ptCount val="1"/>
                <c:pt idx="0">
                  <c:v>Europe &amp; Central Asia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cat>
            <c:numRef>
              <c:f>Inducer_perspective!$T$3:$T$24</c:f>
              <c:numCache>
                <c:formatCode>0.00E+00</c:formatCode>
                <c:ptCount val="22"/>
                <c:pt idx="0">
                  <c:v>0</c:v>
                </c:pt>
                <c:pt idx="1">
                  <c:v>14.326463902107992</c:v>
                </c:pt>
                <c:pt idx="2">
                  <c:v>14.326463902107992</c:v>
                </c:pt>
                <c:pt idx="3">
                  <c:v>14.326463902107992</c:v>
                </c:pt>
                <c:pt idx="4">
                  <c:v>39.135955478216921</c:v>
                </c:pt>
                <c:pt idx="5">
                  <c:v>39.135955478216921</c:v>
                </c:pt>
                <c:pt idx="6">
                  <c:v>39.135955478216921</c:v>
                </c:pt>
                <c:pt idx="7">
                  <c:v>44.532800943423936</c:v>
                </c:pt>
                <c:pt idx="8">
                  <c:v>44.532800943423936</c:v>
                </c:pt>
                <c:pt idx="9">
                  <c:v>44.532800943423936</c:v>
                </c:pt>
                <c:pt idx="10">
                  <c:v>75.043537481753745</c:v>
                </c:pt>
                <c:pt idx="11">
                  <c:v>75.043537481753745</c:v>
                </c:pt>
                <c:pt idx="12">
                  <c:v>75.043537481753745</c:v>
                </c:pt>
                <c:pt idx="13">
                  <c:v>83.148734643938866</c:v>
                </c:pt>
                <c:pt idx="14">
                  <c:v>83.148734643938866</c:v>
                </c:pt>
                <c:pt idx="15">
                  <c:v>83.148734643938866</c:v>
                </c:pt>
                <c:pt idx="16">
                  <c:v>95.152057205664974</c:v>
                </c:pt>
                <c:pt idx="17">
                  <c:v>95.152057205664974</c:v>
                </c:pt>
                <c:pt idx="18">
                  <c:v>95.152057205664974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</c:numCache>
            </c:numRef>
          </c:cat>
          <c:val>
            <c:numRef>
              <c:f>Inducer_perspective!$V$3:$V$243</c:f>
              <c:numCache>
                <c:formatCode>0.00E+00</c:formatCode>
                <c:ptCount val="241"/>
                <c:pt idx="0">
                  <c:v>6.0595552552830671E-5</c:v>
                </c:pt>
                <c:pt idx="1">
                  <c:v>6.0595552552830671E-5</c:v>
                </c:pt>
                <c:pt idx="2">
                  <c:v>0</c:v>
                </c:pt>
                <c:pt idx="3">
                  <c:v>8.1366459713233565E-5</c:v>
                </c:pt>
                <c:pt idx="4">
                  <c:v>8.1366459713233565E-5</c:v>
                </c:pt>
                <c:pt idx="5">
                  <c:v>0</c:v>
                </c:pt>
                <c:pt idx="6">
                  <c:v>1.9258064503978119E-4</c:v>
                </c:pt>
                <c:pt idx="7">
                  <c:v>1.9258064503978119E-4</c:v>
                </c:pt>
                <c:pt idx="8">
                  <c:v>0</c:v>
                </c:pt>
                <c:pt idx="9">
                  <c:v>3.5651029917937722E-4</c:v>
                </c:pt>
                <c:pt idx="10">
                  <c:v>3.5651029917937722E-4</c:v>
                </c:pt>
                <c:pt idx="11">
                  <c:v>0</c:v>
                </c:pt>
                <c:pt idx="12">
                  <c:v>3.6946787988288471E-4</c:v>
                </c:pt>
                <c:pt idx="13">
                  <c:v>3.6946787988288471E-4</c:v>
                </c:pt>
                <c:pt idx="14">
                  <c:v>0</c:v>
                </c:pt>
                <c:pt idx="15">
                  <c:v>4.2362316080284384E-4</c:v>
                </c:pt>
                <c:pt idx="16">
                  <c:v>4.2362316080284384E-4</c:v>
                </c:pt>
                <c:pt idx="17">
                  <c:v>0</c:v>
                </c:pt>
                <c:pt idx="18">
                  <c:v>1.0219245513450148E-3</c:v>
                </c:pt>
                <c:pt idx="19">
                  <c:v>1.0219245513450148E-3</c:v>
                </c:pt>
                <c:pt idx="20">
                  <c:v>0</c:v>
                </c:pt>
                <c:pt idx="21">
                  <c:v>1.0219245513450148E-3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A6B-48C1-A07E-C299D5851D62}"/>
            </c:ext>
          </c:extLst>
        </c:ser>
        <c:ser>
          <c:idx val="3"/>
          <c:order val="2"/>
          <c:tx>
            <c:strRef>
              <c:f>Inducer_perspective!$W$2</c:f>
              <c:strCache>
                <c:ptCount val="1"/>
                <c:pt idx="0">
                  <c:v>Middle East &amp; North Africa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cat>
            <c:numRef>
              <c:f>Inducer_perspective!$T$3:$T$24</c:f>
              <c:numCache>
                <c:formatCode>0.00E+00</c:formatCode>
                <c:ptCount val="22"/>
                <c:pt idx="0">
                  <c:v>0</c:v>
                </c:pt>
                <c:pt idx="1">
                  <c:v>14.326463902107992</c:v>
                </c:pt>
                <c:pt idx="2">
                  <c:v>14.326463902107992</c:v>
                </c:pt>
                <c:pt idx="3">
                  <c:v>14.326463902107992</c:v>
                </c:pt>
                <c:pt idx="4">
                  <c:v>39.135955478216921</c:v>
                </c:pt>
                <c:pt idx="5">
                  <c:v>39.135955478216921</c:v>
                </c:pt>
                <c:pt idx="6">
                  <c:v>39.135955478216921</c:v>
                </c:pt>
                <c:pt idx="7">
                  <c:v>44.532800943423936</c:v>
                </c:pt>
                <c:pt idx="8">
                  <c:v>44.532800943423936</c:v>
                </c:pt>
                <c:pt idx="9">
                  <c:v>44.532800943423936</c:v>
                </c:pt>
                <c:pt idx="10">
                  <c:v>75.043537481753745</c:v>
                </c:pt>
                <c:pt idx="11">
                  <c:v>75.043537481753745</c:v>
                </c:pt>
                <c:pt idx="12">
                  <c:v>75.043537481753745</c:v>
                </c:pt>
                <c:pt idx="13">
                  <c:v>83.148734643938866</c:v>
                </c:pt>
                <c:pt idx="14">
                  <c:v>83.148734643938866</c:v>
                </c:pt>
                <c:pt idx="15">
                  <c:v>83.148734643938866</c:v>
                </c:pt>
                <c:pt idx="16">
                  <c:v>95.152057205664974</c:v>
                </c:pt>
                <c:pt idx="17">
                  <c:v>95.152057205664974</c:v>
                </c:pt>
                <c:pt idx="18">
                  <c:v>95.152057205664974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</c:numCache>
            </c:numRef>
          </c:cat>
          <c:val>
            <c:numRef>
              <c:f>Inducer_perspective!$W$3:$W$24</c:f>
              <c:numCache>
                <c:formatCode>0.00E+00</c:formatCode>
                <c:ptCount val="22"/>
                <c:pt idx="0">
                  <c:v>1.2169998655396851E-4</c:v>
                </c:pt>
                <c:pt idx="1">
                  <c:v>1.2169998655396851E-4</c:v>
                </c:pt>
                <c:pt idx="2">
                  <c:v>0</c:v>
                </c:pt>
                <c:pt idx="3">
                  <c:v>1.6341623495241101E-4</c:v>
                </c:pt>
                <c:pt idx="4">
                  <c:v>1.6341623495241101E-4</c:v>
                </c:pt>
                <c:pt idx="5">
                  <c:v>0</c:v>
                </c:pt>
                <c:pt idx="6">
                  <c:v>3.8677858233015014E-4</c:v>
                </c:pt>
                <c:pt idx="7">
                  <c:v>3.8677858233015014E-4</c:v>
                </c:pt>
                <c:pt idx="8">
                  <c:v>0</c:v>
                </c:pt>
                <c:pt idx="9">
                  <c:v>7.1601457183931066E-4</c:v>
                </c:pt>
                <c:pt idx="10">
                  <c:v>7.1601457183931066E-4</c:v>
                </c:pt>
                <c:pt idx="11">
                  <c:v>0</c:v>
                </c:pt>
                <c:pt idx="12">
                  <c:v>7.420385510086392E-4</c:v>
                </c:pt>
                <c:pt idx="13">
                  <c:v>7.420385510086392E-4</c:v>
                </c:pt>
                <c:pt idx="14">
                  <c:v>0</c:v>
                </c:pt>
                <c:pt idx="15">
                  <c:v>8.5080390889590777E-4</c:v>
                </c:pt>
                <c:pt idx="16">
                  <c:v>8.5080390889590777E-4</c:v>
                </c:pt>
                <c:pt idx="17">
                  <c:v>0</c:v>
                </c:pt>
                <c:pt idx="18">
                  <c:v>2.0524312250379644E-3</c:v>
                </c:pt>
                <c:pt idx="19">
                  <c:v>2.0524312250379644E-3</c:v>
                </c:pt>
                <c:pt idx="20">
                  <c:v>0</c:v>
                </c:pt>
                <c:pt idx="21">
                  <c:v>2.0524312250379644E-3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A6B-48C1-A07E-C299D5851D62}"/>
            </c:ext>
          </c:extLst>
        </c:ser>
        <c:ser>
          <c:idx val="4"/>
          <c:order val="3"/>
          <c:tx>
            <c:strRef>
              <c:f>Inducer_perspective!$X$2</c:f>
              <c:strCache>
                <c:ptCount val="1"/>
                <c:pt idx="0">
                  <c:v>Sub-Saharan Africa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cat>
            <c:numRef>
              <c:f>Inducer_perspective!$T$3:$T$24</c:f>
              <c:numCache>
                <c:formatCode>0.00E+00</c:formatCode>
                <c:ptCount val="22"/>
                <c:pt idx="0">
                  <c:v>0</c:v>
                </c:pt>
                <c:pt idx="1">
                  <c:v>14.326463902107992</c:v>
                </c:pt>
                <c:pt idx="2">
                  <c:v>14.326463902107992</c:v>
                </c:pt>
                <c:pt idx="3">
                  <c:v>14.326463902107992</c:v>
                </c:pt>
                <c:pt idx="4">
                  <c:v>39.135955478216921</c:v>
                </c:pt>
                <c:pt idx="5">
                  <c:v>39.135955478216921</c:v>
                </c:pt>
                <c:pt idx="6">
                  <c:v>39.135955478216921</c:v>
                </c:pt>
                <c:pt idx="7">
                  <c:v>44.532800943423936</c:v>
                </c:pt>
                <c:pt idx="8">
                  <c:v>44.532800943423936</c:v>
                </c:pt>
                <c:pt idx="9">
                  <c:v>44.532800943423936</c:v>
                </c:pt>
                <c:pt idx="10">
                  <c:v>75.043537481753745</c:v>
                </c:pt>
                <c:pt idx="11">
                  <c:v>75.043537481753745</c:v>
                </c:pt>
                <c:pt idx="12">
                  <c:v>75.043537481753745</c:v>
                </c:pt>
                <c:pt idx="13">
                  <c:v>83.148734643938866</c:v>
                </c:pt>
                <c:pt idx="14">
                  <c:v>83.148734643938866</c:v>
                </c:pt>
                <c:pt idx="15">
                  <c:v>83.148734643938866</c:v>
                </c:pt>
                <c:pt idx="16">
                  <c:v>95.152057205664974</c:v>
                </c:pt>
                <c:pt idx="17">
                  <c:v>95.152057205664974</c:v>
                </c:pt>
                <c:pt idx="18">
                  <c:v>95.152057205664974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</c:numCache>
            </c:numRef>
          </c:cat>
          <c:val>
            <c:numRef>
              <c:f>Inducer_perspective!$X$3:$X$24</c:f>
              <c:numCache>
                <c:formatCode>0.00E+00</c:formatCode>
                <c:ptCount val="22"/>
                <c:pt idx="0">
                  <c:v>2.1411865990822593E-3</c:v>
                </c:pt>
                <c:pt idx="1">
                  <c:v>2.1411865990822593E-3</c:v>
                </c:pt>
                <c:pt idx="2">
                  <c:v>0</c:v>
                </c:pt>
                <c:pt idx="3">
                  <c:v>2.8751412572869373E-3</c:v>
                </c:pt>
                <c:pt idx="4">
                  <c:v>2.8751412572869373E-3</c:v>
                </c:pt>
                <c:pt idx="5">
                  <c:v>0</c:v>
                </c:pt>
                <c:pt idx="6">
                  <c:v>6.8049729564275459E-3</c:v>
                </c:pt>
                <c:pt idx="7">
                  <c:v>6.8049729564275459E-3</c:v>
                </c:pt>
                <c:pt idx="8">
                  <c:v>0</c:v>
                </c:pt>
                <c:pt idx="9">
                  <c:v>1.2597542936375616E-2</c:v>
                </c:pt>
                <c:pt idx="10">
                  <c:v>1.2597542936375616E-2</c:v>
                </c:pt>
                <c:pt idx="11">
                  <c:v>0</c:v>
                </c:pt>
                <c:pt idx="12">
                  <c:v>1.3055408191992978E-2</c:v>
                </c:pt>
                <c:pt idx="13">
                  <c:v>1.3055408191992978E-2</c:v>
                </c:pt>
                <c:pt idx="14">
                  <c:v>0</c:v>
                </c:pt>
                <c:pt idx="15">
                  <c:v>1.4969023249372874E-2</c:v>
                </c:pt>
                <c:pt idx="16">
                  <c:v>1.4969023249372874E-2</c:v>
                </c:pt>
                <c:pt idx="17">
                  <c:v>0</c:v>
                </c:pt>
                <c:pt idx="18">
                  <c:v>3.6110424980535627E-2</c:v>
                </c:pt>
                <c:pt idx="19">
                  <c:v>3.6110424980535627E-2</c:v>
                </c:pt>
                <c:pt idx="20">
                  <c:v>0</c:v>
                </c:pt>
                <c:pt idx="21">
                  <c:v>3.6110424980535627E-2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A6B-48C1-A07E-C299D5851D62}"/>
            </c:ext>
          </c:extLst>
        </c:ser>
        <c:ser>
          <c:idx val="5"/>
          <c:order val="4"/>
          <c:tx>
            <c:strRef>
              <c:f>Inducer_perspective!$Y$2</c:f>
              <c:strCache>
                <c:ptCount val="1"/>
                <c:pt idx="0">
                  <c:v>Latin America &amp; Caribbean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cat>
            <c:numRef>
              <c:f>Inducer_perspective!$T$3:$T$24</c:f>
              <c:numCache>
                <c:formatCode>0.00E+00</c:formatCode>
                <c:ptCount val="22"/>
                <c:pt idx="0">
                  <c:v>0</c:v>
                </c:pt>
                <c:pt idx="1">
                  <c:v>14.326463902107992</c:v>
                </c:pt>
                <c:pt idx="2">
                  <c:v>14.326463902107992</c:v>
                </c:pt>
                <c:pt idx="3">
                  <c:v>14.326463902107992</c:v>
                </c:pt>
                <c:pt idx="4">
                  <c:v>39.135955478216921</c:v>
                </c:pt>
                <c:pt idx="5">
                  <c:v>39.135955478216921</c:v>
                </c:pt>
                <c:pt idx="6">
                  <c:v>39.135955478216921</c:v>
                </c:pt>
                <c:pt idx="7">
                  <c:v>44.532800943423936</c:v>
                </c:pt>
                <c:pt idx="8">
                  <c:v>44.532800943423936</c:v>
                </c:pt>
                <c:pt idx="9">
                  <c:v>44.532800943423936</c:v>
                </c:pt>
                <c:pt idx="10">
                  <c:v>75.043537481753745</c:v>
                </c:pt>
                <c:pt idx="11">
                  <c:v>75.043537481753745</c:v>
                </c:pt>
                <c:pt idx="12">
                  <c:v>75.043537481753745</c:v>
                </c:pt>
                <c:pt idx="13">
                  <c:v>83.148734643938866</c:v>
                </c:pt>
                <c:pt idx="14">
                  <c:v>83.148734643938866</c:v>
                </c:pt>
                <c:pt idx="15">
                  <c:v>83.148734643938866</c:v>
                </c:pt>
                <c:pt idx="16">
                  <c:v>95.152057205664974</c:v>
                </c:pt>
                <c:pt idx="17">
                  <c:v>95.152057205664974</c:v>
                </c:pt>
                <c:pt idx="18">
                  <c:v>95.152057205664974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</c:numCache>
            </c:numRef>
          </c:cat>
          <c:val>
            <c:numRef>
              <c:f>Inducer_perspective!$Y$3:$Y$24</c:f>
              <c:numCache>
                <c:formatCode>0.00E+00</c:formatCode>
                <c:ptCount val="22"/>
                <c:pt idx="0">
                  <c:v>1.4259257582187825E-4</c:v>
                </c:pt>
                <c:pt idx="1">
                  <c:v>1.4259257582187825E-4</c:v>
                </c:pt>
                <c:pt idx="2">
                  <c:v>0</c:v>
                </c:pt>
                <c:pt idx="3">
                  <c:v>1.914703734387363E-4</c:v>
                </c:pt>
                <c:pt idx="4">
                  <c:v>1.914703734387363E-4</c:v>
                </c:pt>
                <c:pt idx="5">
                  <c:v>0</c:v>
                </c:pt>
                <c:pt idx="6">
                  <c:v>4.5317798209232481E-4</c:v>
                </c:pt>
                <c:pt idx="7">
                  <c:v>4.5317798209232481E-4</c:v>
                </c:pt>
                <c:pt idx="8">
                  <c:v>0</c:v>
                </c:pt>
                <c:pt idx="9">
                  <c:v>8.3893486774783274E-4</c:v>
                </c:pt>
                <c:pt idx="10">
                  <c:v>8.3893486774783274E-4</c:v>
                </c:pt>
                <c:pt idx="11">
                  <c:v>0</c:v>
                </c:pt>
                <c:pt idx="12">
                  <c:v>8.6942645881505016E-4</c:v>
                </c:pt>
                <c:pt idx="13">
                  <c:v>8.6942645881505016E-4</c:v>
                </c:pt>
                <c:pt idx="14">
                  <c:v>0</c:v>
                </c:pt>
                <c:pt idx="15">
                  <c:v>9.9686388079419253E-4</c:v>
                </c:pt>
                <c:pt idx="16">
                  <c:v>9.9686388079419253E-4</c:v>
                </c:pt>
                <c:pt idx="17">
                  <c:v>0</c:v>
                </c:pt>
                <c:pt idx="18">
                  <c:v>2.4047780395245492E-3</c:v>
                </c:pt>
                <c:pt idx="19">
                  <c:v>2.4047780395245492E-3</c:v>
                </c:pt>
                <c:pt idx="20">
                  <c:v>0</c:v>
                </c:pt>
                <c:pt idx="21">
                  <c:v>2.4047780395245492E-3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A6B-48C1-A07E-C299D5851D62}"/>
            </c:ext>
          </c:extLst>
        </c:ser>
        <c:ser>
          <c:idx val="6"/>
          <c:order val="5"/>
          <c:tx>
            <c:strRef>
              <c:f>Inducer_perspective!$Z$2</c:f>
              <c:strCache>
                <c:ptCount val="1"/>
                <c:pt idx="0">
                  <c:v>East Asia &amp; Pacific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cat>
            <c:numRef>
              <c:f>Inducer_perspective!$T$3:$T$24</c:f>
              <c:numCache>
                <c:formatCode>0.00E+00</c:formatCode>
                <c:ptCount val="22"/>
                <c:pt idx="0">
                  <c:v>0</c:v>
                </c:pt>
                <c:pt idx="1">
                  <c:v>14.326463902107992</c:v>
                </c:pt>
                <c:pt idx="2">
                  <c:v>14.326463902107992</c:v>
                </c:pt>
                <c:pt idx="3">
                  <c:v>14.326463902107992</c:v>
                </c:pt>
                <c:pt idx="4">
                  <c:v>39.135955478216921</c:v>
                </c:pt>
                <c:pt idx="5">
                  <c:v>39.135955478216921</c:v>
                </c:pt>
                <c:pt idx="6">
                  <c:v>39.135955478216921</c:v>
                </c:pt>
                <c:pt idx="7">
                  <c:v>44.532800943423936</c:v>
                </c:pt>
                <c:pt idx="8">
                  <c:v>44.532800943423936</c:v>
                </c:pt>
                <c:pt idx="9">
                  <c:v>44.532800943423936</c:v>
                </c:pt>
                <c:pt idx="10">
                  <c:v>75.043537481753745</c:v>
                </c:pt>
                <c:pt idx="11">
                  <c:v>75.043537481753745</c:v>
                </c:pt>
                <c:pt idx="12">
                  <c:v>75.043537481753745</c:v>
                </c:pt>
                <c:pt idx="13">
                  <c:v>83.148734643938866</c:v>
                </c:pt>
                <c:pt idx="14">
                  <c:v>83.148734643938866</c:v>
                </c:pt>
                <c:pt idx="15">
                  <c:v>83.148734643938866</c:v>
                </c:pt>
                <c:pt idx="16">
                  <c:v>95.152057205664974</c:v>
                </c:pt>
                <c:pt idx="17">
                  <c:v>95.152057205664974</c:v>
                </c:pt>
                <c:pt idx="18">
                  <c:v>95.152057205664974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</c:numCache>
            </c:numRef>
          </c:cat>
          <c:val>
            <c:numRef>
              <c:f>Inducer_perspective!$Z$3:$Z$24</c:f>
              <c:numCache>
                <c:formatCode>0.00E+00</c:formatCode>
                <c:ptCount val="22"/>
                <c:pt idx="0">
                  <c:v>6.6194622549218228E-4</c:v>
                </c:pt>
                <c:pt idx="1">
                  <c:v>6.6194622549218228E-4</c:v>
                </c:pt>
                <c:pt idx="2">
                  <c:v>0</c:v>
                </c:pt>
                <c:pt idx="3">
                  <c:v>8.8884775564804447E-4</c:v>
                </c:pt>
                <c:pt idx="4">
                  <c:v>8.8884775564804447E-4</c:v>
                </c:pt>
                <c:pt idx="5">
                  <c:v>0</c:v>
                </c:pt>
                <c:pt idx="6">
                  <c:v>2.1037522675577602E-3</c:v>
                </c:pt>
                <c:pt idx="7">
                  <c:v>2.1037522675577602E-3</c:v>
                </c:pt>
                <c:pt idx="8">
                  <c:v>0</c:v>
                </c:pt>
                <c:pt idx="9">
                  <c:v>3.8945209169456334E-3</c:v>
                </c:pt>
                <c:pt idx="10">
                  <c:v>3.8945209169456334E-3</c:v>
                </c:pt>
                <c:pt idx="11">
                  <c:v>0</c:v>
                </c:pt>
                <c:pt idx="12">
                  <c:v>4.0360696160967628E-3</c:v>
                </c:pt>
                <c:pt idx="13">
                  <c:v>4.0360696160967628E-3</c:v>
                </c:pt>
                <c:pt idx="14">
                  <c:v>0</c:v>
                </c:pt>
                <c:pt idx="15">
                  <c:v>4.6276622707586952E-3</c:v>
                </c:pt>
                <c:pt idx="16">
                  <c:v>4.6276622707586952E-3</c:v>
                </c:pt>
                <c:pt idx="17">
                  <c:v>0</c:v>
                </c:pt>
                <c:pt idx="18">
                  <c:v>1.116351070337792E-2</c:v>
                </c:pt>
                <c:pt idx="19">
                  <c:v>1.116351070337792E-2</c:v>
                </c:pt>
                <c:pt idx="20">
                  <c:v>0</c:v>
                </c:pt>
                <c:pt idx="21">
                  <c:v>1.116351070337792E-2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A6B-48C1-A07E-C299D5851D62}"/>
            </c:ext>
          </c:extLst>
        </c:ser>
        <c:ser>
          <c:idx val="7"/>
          <c:order val="6"/>
          <c:tx>
            <c:strRef>
              <c:f>Inducer_perspective!$AA$2</c:f>
              <c:strCache>
                <c:ptCount val="1"/>
                <c:pt idx="0">
                  <c:v>North America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 w="12700">
              <a:noFill/>
            </a:ln>
            <a:effectLst/>
          </c:spPr>
          <c:cat>
            <c:numRef>
              <c:f>Inducer_perspective!$T$3:$T$24</c:f>
              <c:numCache>
                <c:formatCode>0.00E+00</c:formatCode>
                <c:ptCount val="22"/>
                <c:pt idx="0">
                  <c:v>0</c:v>
                </c:pt>
                <c:pt idx="1">
                  <c:v>14.326463902107992</c:v>
                </c:pt>
                <c:pt idx="2">
                  <c:v>14.326463902107992</c:v>
                </c:pt>
                <c:pt idx="3">
                  <c:v>14.326463902107992</c:v>
                </c:pt>
                <c:pt idx="4">
                  <c:v>39.135955478216921</c:v>
                </c:pt>
                <c:pt idx="5">
                  <c:v>39.135955478216921</c:v>
                </c:pt>
                <c:pt idx="6">
                  <c:v>39.135955478216921</c:v>
                </c:pt>
                <c:pt idx="7">
                  <c:v>44.532800943423936</c:v>
                </c:pt>
                <c:pt idx="8">
                  <c:v>44.532800943423936</c:v>
                </c:pt>
                <c:pt idx="9">
                  <c:v>44.532800943423936</c:v>
                </c:pt>
                <c:pt idx="10">
                  <c:v>75.043537481753745</c:v>
                </c:pt>
                <c:pt idx="11">
                  <c:v>75.043537481753745</c:v>
                </c:pt>
                <c:pt idx="12">
                  <c:v>75.043537481753745</c:v>
                </c:pt>
                <c:pt idx="13">
                  <c:v>83.148734643938866</c:v>
                </c:pt>
                <c:pt idx="14">
                  <c:v>83.148734643938866</c:v>
                </c:pt>
                <c:pt idx="15">
                  <c:v>83.148734643938866</c:v>
                </c:pt>
                <c:pt idx="16">
                  <c:v>95.152057205664974</c:v>
                </c:pt>
                <c:pt idx="17">
                  <c:v>95.152057205664974</c:v>
                </c:pt>
                <c:pt idx="18">
                  <c:v>95.152057205664974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</c:numCache>
            </c:numRef>
          </c:cat>
          <c:val>
            <c:numRef>
              <c:f>Inducer_perspective!$AA$3:$AA$24</c:f>
              <c:numCache>
                <c:formatCode>0.00E+00</c:formatCode>
                <c:ptCount val="22"/>
                <c:pt idx="0">
                  <c:v>-1.6810021159424131E-5</c:v>
                </c:pt>
                <c:pt idx="1">
                  <c:v>-1.6810021159424131E-5</c:v>
                </c:pt>
                <c:pt idx="2">
                  <c:v>0</c:v>
                </c:pt>
                <c:pt idx="3">
                  <c:v>-2.2572150130232505E-5</c:v>
                </c:pt>
                <c:pt idx="4">
                  <c:v>-2.2572150130232505E-5</c:v>
                </c:pt>
                <c:pt idx="5">
                  <c:v>0</c:v>
                </c:pt>
                <c:pt idx="6">
                  <c:v>-5.3424460734008815E-5</c:v>
                </c:pt>
                <c:pt idx="7">
                  <c:v>-5.3424460734008815E-5</c:v>
                </c:pt>
                <c:pt idx="8">
                  <c:v>0</c:v>
                </c:pt>
                <c:pt idx="9">
                  <c:v>-9.8900751297431689E-5</c:v>
                </c:pt>
                <c:pt idx="10">
                  <c:v>-9.8900751297431689E-5</c:v>
                </c:pt>
                <c:pt idx="11">
                  <c:v>0</c:v>
                </c:pt>
                <c:pt idx="12">
                  <c:v>-1.0249535843647877E-4</c:v>
                </c:pt>
                <c:pt idx="13">
                  <c:v>-1.0249535843647877E-4</c:v>
                </c:pt>
                <c:pt idx="14">
                  <c:v>0</c:v>
                </c:pt>
                <c:pt idx="15">
                  <c:v>-1.175187616369921E-4</c:v>
                </c:pt>
                <c:pt idx="16">
                  <c:v>-1.175187616369921E-4</c:v>
                </c:pt>
                <c:pt idx="17">
                  <c:v>0</c:v>
                </c:pt>
                <c:pt idx="18">
                  <c:v>-2.8349561325424744E-4</c:v>
                </c:pt>
                <c:pt idx="19">
                  <c:v>-2.8349561325424744E-4</c:v>
                </c:pt>
                <c:pt idx="20">
                  <c:v>0</c:v>
                </c:pt>
                <c:pt idx="21">
                  <c:v>-2.8349561325424744E-4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A6B-48C1-A07E-C299D5851D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0599296"/>
        <c:axId val="270601216"/>
      </c:areaChart>
      <c:scatterChart>
        <c:scatterStyle val="lineMarker"/>
        <c:varyColors val="0"/>
        <c:ser>
          <c:idx val="2"/>
          <c:order val="7"/>
          <c:tx>
            <c:strRef>
              <c:f>Inducer_perspective!$AH$2</c:f>
              <c:strCache>
                <c:ptCount val="1"/>
                <c:pt idx="0">
                  <c:v>label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dLbls>
            <c:dLbl>
              <c:idx val="0"/>
              <c:tx>
                <c:strRef>
                  <c:f>Inducer_perspective!$AH$3</c:f>
                  <c:strCache>
                    <c:ptCount val="1"/>
                    <c:pt idx="0">
                      <c:v>Sub-Saharan Africa</c:v>
                    </c:pt>
                  </c:strCache>
                </c:strRef>
              </c:tx>
              <c:spPr>
                <a:solidFill>
                  <a:schemeClr val="lt1"/>
                </a:solidFill>
                <a:ln w="25400" cap="flat" cmpd="sng" algn="ctr">
                  <a:solidFill>
                    <a:schemeClr val="accent6"/>
                  </a:solidFill>
                  <a:prstDash val="solid"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0" i="0" u="none" strike="noStrike" kern="1200" baseline="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{43C7288C-9483-4AED-AE3C-212BAE13C628}</c15:txfldGUID>
                      <c15:f>Inducer_perspective!$AH$3</c15:f>
                      <c15:dlblFieldTableCache>
                        <c:ptCount val="1"/>
                        <c:pt idx="0">
                          <c:v>Sub-Saharan Africa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7-4A6B-48C1-A07E-C299D5851D62}"/>
                </c:ext>
              </c:extLst>
            </c:dLbl>
            <c:dLbl>
              <c:idx val="1"/>
              <c:tx>
                <c:strRef>
                  <c:f>Inducer_perspective!$AH$4</c:f>
                  <c:strCache>
                    <c:ptCount val="1"/>
                    <c:pt idx="0">
                      <c:v>South Asia</c:v>
                    </c:pt>
                  </c:strCache>
                </c:strRef>
              </c:tx>
              <c:spPr>
                <a:solidFill>
                  <a:schemeClr val="lt1"/>
                </a:solidFill>
                <a:ln w="25400" cap="flat" cmpd="sng" algn="ctr">
                  <a:solidFill>
                    <a:schemeClr val="accent4"/>
                  </a:solidFill>
                  <a:prstDash val="solid"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0" i="0" u="none" strike="noStrike" kern="1200" baseline="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{98AAAE0A-0C3F-4440-A2E5-E3090A5A7EE5}</c15:txfldGUID>
                      <c15:f>Inducer_perspective!$AH$4</c15:f>
                      <c15:dlblFieldTableCache>
                        <c:ptCount val="1"/>
                        <c:pt idx="0">
                          <c:v>South Asia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8-4A6B-48C1-A07E-C299D5851D62}"/>
                </c:ext>
              </c:extLst>
            </c:dLbl>
            <c:dLbl>
              <c:idx val="2"/>
              <c:layout>
                <c:manualLayout>
                  <c:x val="-1.433289825728422E-2"/>
                  <c:y val="-3.6988316950787373E-2"/>
                </c:manualLayout>
              </c:layout>
              <c:tx>
                <c:strRef>
                  <c:f>Inducer_perspective!$AH$5</c:f>
                  <c:strCache>
                    <c:ptCount val="1"/>
                    <c:pt idx="0">
                      <c:v>Middle East &amp; North Africa</c:v>
                    </c:pt>
                  </c:strCache>
                </c:strRef>
              </c:tx>
              <c:spPr>
                <a:solidFill>
                  <a:schemeClr val="lt1"/>
                </a:solidFill>
                <a:ln w="25400" cap="flat" cmpd="sng" algn="ctr">
                  <a:solidFill>
                    <a:schemeClr val="accent2"/>
                  </a:solidFill>
                  <a:prstDash val="solid"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0" i="0" u="none" strike="noStrike" kern="1200" baseline="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{D3C47362-0583-4820-B075-83A87D37EA1C}</c15:txfldGUID>
                      <c15:f>Inducer_perspective!$AH$5</c15:f>
                      <c15:dlblFieldTableCache>
                        <c:ptCount val="1"/>
                        <c:pt idx="0">
                          <c:v>Middle East &amp; North Africa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9-4A6B-48C1-A07E-C299D5851D62}"/>
                </c:ext>
              </c:extLst>
            </c:dLbl>
            <c:dLbl>
              <c:idx val="3"/>
              <c:tx>
                <c:strRef>
                  <c:f>Inducer_perspective!$AH$6</c:f>
                  <c:strCache>
                    <c:ptCount val="1"/>
                    <c:pt idx="0">
                      <c:v>East Asia &amp; Pacific</c:v>
                    </c:pt>
                  </c:strCache>
                </c:strRef>
              </c:tx>
              <c:spPr>
                <a:solidFill>
                  <a:schemeClr val="lt1"/>
                </a:solidFill>
                <a:ln w="25400" cap="flat" cmpd="sng" algn="ctr">
                  <a:solidFill>
                    <a:schemeClr val="accent1"/>
                  </a:solidFill>
                  <a:prstDash val="solid"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0" i="0" u="none" strike="noStrike" kern="1200" baseline="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{C6C0773D-C8C1-438C-87C4-F2605A3DDEFD}</c15:txfldGUID>
                      <c15:f>Inducer_perspective!$AH$6</c15:f>
                      <c15:dlblFieldTableCache>
                        <c:ptCount val="1"/>
                        <c:pt idx="0">
                          <c:v>East Asia &amp; Pacific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A-4A6B-48C1-A07E-C299D5851D62}"/>
                </c:ext>
              </c:extLst>
            </c:dLbl>
            <c:dLbl>
              <c:idx val="4"/>
              <c:tx>
                <c:strRef>
                  <c:f>Inducer_perspective!$AH$7</c:f>
                  <c:strCache>
                    <c:ptCount val="1"/>
                    <c:pt idx="0">
                      <c:v>Latin America &amp; Caribbean</c:v>
                    </c:pt>
                  </c:strCache>
                </c:strRef>
              </c:tx>
              <c:spPr>
                <a:solidFill>
                  <a:schemeClr val="lt1"/>
                </a:solidFill>
                <a:ln w="25400" cap="flat" cmpd="sng" algn="ctr">
                  <a:solidFill>
                    <a:schemeClr val="dk1"/>
                  </a:solidFill>
                  <a:prstDash val="solid"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0" i="0" u="none" strike="noStrike" kern="1200" baseline="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{90A350F6-CA59-450B-BFE7-619105C4E02E}</c15:txfldGUID>
                      <c15:f>Inducer_perspective!$AH$7</c15:f>
                      <c15:dlblFieldTableCache>
                        <c:ptCount val="1"/>
                        <c:pt idx="0">
                          <c:v>Latin America &amp; Caribbean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B-4A6B-48C1-A07E-C299D5851D62}"/>
                </c:ext>
              </c:extLst>
            </c:dLbl>
            <c:dLbl>
              <c:idx val="5"/>
              <c:tx>
                <c:strRef>
                  <c:f>Inducer_perspective!$AH$8</c:f>
                  <c:strCache>
                    <c:ptCount val="1"/>
                    <c:pt idx="0">
                      <c:v>Europe &amp; Central Asia</c:v>
                    </c:pt>
                  </c:strCache>
                </c:strRef>
              </c:tx>
              <c:spPr>
                <a:solidFill>
                  <a:schemeClr val="lt1"/>
                </a:solidFill>
                <a:ln w="25400" cap="flat" cmpd="sng" algn="ctr">
                  <a:solidFill>
                    <a:schemeClr val="accent3"/>
                  </a:solidFill>
                  <a:prstDash val="solid"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0" i="0" u="none" strike="noStrike" kern="1200" baseline="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{61CFCADB-5E5B-4433-9ED5-27A659DA52DB}</c15:txfldGUID>
                      <c15:f>Inducer_perspective!$AH$8</c15:f>
                      <c15:dlblFieldTableCache>
                        <c:ptCount val="1"/>
                        <c:pt idx="0">
                          <c:v>Europe &amp; Central Asia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C-4A6B-48C1-A07E-C299D5851D62}"/>
                </c:ext>
              </c:extLst>
            </c:dLbl>
            <c:dLbl>
              <c:idx val="6"/>
              <c:tx>
                <c:strRef>
                  <c:f>Inducer_perspective!$AH$9</c:f>
                  <c:strCache>
                    <c:ptCount val="1"/>
                    <c:pt idx="0">
                      <c:v>North America</c:v>
                    </c:pt>
                  </c:strCache>
                </c:strRef>
              </c:tx>
              <c:spPr>
                <a:solidFill>
                  <a:schemeClr val="lt1"/>
                </a:solidFill>
                <a:ln w="25400" cap="flat" cmpd="sng" algn="ctr">
                  <a:solidFill>
                    <a:schemeClr val="accent5"/>
                  </a:solidFill>
                  <a:prstDash val="solid"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0" i="0" u="none" strike="noStrike" kern="1200" baseline="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{80222DE3-FEE7-434C-8155-70E1B377F801}</c15:txfldGUID>
                      <c15:f>Inducer_perspective!$AH$9</c15:f>
                      <c15:dlblFieldTableCache>
                        <c:ptCount val="1"/>
                        <c:pt idx="0">
                          <c:v>North America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D-4A6B-48C1-A07E-C299D5851D62}"/>
                </c:ext>
              </c:extLst>
            </c:dLbl>
            <c:dLbl>
              <c:idx val="7"/>
              <c:tx>
                <c:strRef>
                  <c:f>Inducer_perspective!$AH$10</c:f>
                  <c:strCache>
                    <c:ptCount val="1"/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{C96BC095-52EC-42E5-8EED-567CBB2D8669}</c15:txfldGUID>
                      <c15:f>Inducer_perspective!$AH$10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E-4A6B-48C1-A07E-C299D5851D62}"/>
                </c:ext>
              </c:extLst>
            </c:dLbl>
            <c:dLbl>
              <c:idx val="8"/>
              <c:tx>
                <c:strRef>
                  <c:f>Inducer_perspective!$AH$11</c:f>
                  <c:strCache>
                    <c:ptCount val="1"/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{3E0A6089-7B4F-474B-96B0-E34E4D6668E9}</c15:txfldGUID>
                      <c15:f>Inducer_perspective!$AH$11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F-4A6B-48C1-A07E-C299D5851D62}"/>
                </c:ext>
              </c:extLst>
            </c:dLbl>
            <c:dLbl>
              <c:idx val="9"/>
              <c:tx>
                <c:strRef>
                  <c:f>Inducer_perspective!$AH$12</c:f>
                  <c:strCache>
                    <c:ptCount val="1"/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{E2D5925A-7C8F-4256-B460-5A0A83E651AE}</c15:txfldGUID>
                      <c15:f>Inducer_perspective!$AH$12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0-4A6B-48C1-A07E-C299D5851D62}"/>
                </c:ext>
              </c:extLst>
            </c:dLbl>
            <c:dLbl>
              <c:idx val="10"/>
              <c:tx>
                <c:strRef>
                  <c:f>Inducer_perspective!$AH$13</c:f>
                  <c:strCache>
                    <c:ptCount val="1"/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{6A0D87BD-45CD-4AFC-8BDB-E0AD92668CE3}</c15:txfldGUID>
                      <c15:f>Inducer_perspective!$AH$13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1-4A6B-48C1-A07E-C299D5851D62}"/>
                </c:ext>
              </c:extLst>
            </c:dLbl>
            <c:dLbl>
              <c:idx val="11"/>
              <c:tx>
                <c:strRef>
                  <c:f>Inducer_perspective!$AH$14</c:f>
                  <c:strCache>
                    <c:ptCount val="1"/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{D550CC7B-A6AB-4B64-B698-36ED18E9529F}</c15:txfldGUID>
                      <c15:f>Inducer_perspective!$AH$14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2-4A6B-48C1-A07E-C299D5851D62}"/>
                </c:ext>
              </c:extLst>
            </c:dLbl>
            <c:dLbl>
              <c:idx val="12"/>
              <c:tx>
                <c:strRef>
                  <c:f>Inducer_perspective!$AH$15</c:f>
                  <c:strCache>
                    <c:ptCount val="1"/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{8A8249F5-9699-4758-BA36-1B29D7E7BECF}</c15:txfldGUID>
                      <c15:f>Inducer_perspective!$AH$15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3-4A6B-48C1-A07E-C299D5851D62}"/>
                </c:ext>
              </c:extLst>
            </c:dLbl>
            <c:dLbl>
              <c:idx val="13"/>
              <c:tx>
                <c:strRef>
                  <c:f>Inducer_perspective!$AH$16</c:f>
                  <c:strCache>
                    <c:ptCount val="1"/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{E13E2DEC-1E25-446F-8BA8-0442F4CFDE6C}</c15:txfldGUID>
                      <c15:f>Inducer_perspective!$AH$16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4-4A6B-48C1-A07E-C299D5851D62}"/>
                </c:ext>
              </c:extLst>
            </c:dLbl>
            <c:dLbl>
              <c:idx val="14"/>
              <c:tx>
                <c:strRef>
                  <c:f>Inducer_perspective!$AH$17</c:f>
                  <c:strCache>
                    <c:ptCount val="1"/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{32D6AFA0-D0EA-4A88-BE02-11698FC04810}</c15:txfldGUID>
                      <c15:f>Inducer_perspective!$AH$17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5-4A6B-48C1-A07E-C299D5851D62}"/>
                </c:ext>
              </c:extLst>
            </c:dLbl>
            <c:dLbl>
              <c:idx val="15"/>
              <c:tx>
                <c:strRef>
                  <c:f>Inducer_perspective!$AH$18</c:f>
                  <c:strCache>
                    <c:ptCount val="1"/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{B85443B3-4885-420E-B9EB-E50F051BC90F}</c15:txfldGUID>
                      <c15:f>Inducer_perspective!$AH$18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6-4A6B-48C1-A07E-C299D5851D62}"/>
                </c:ext>
              </c:extLst>
            </c:dLbl>
            <c:dLbl>
              <c:idx val="16"/>
              <c:tx>
                <c:strRef>
                  <c:f>Inducer_perspective!$AH$19</c:f>
                  <c:strCache>
                    <c:ptCount val="1"/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{5ACD37FF-E979-4A90-B723-28D8022E3EA5}</c15:txfldGUID>
                      <c15:f>Inducer_perspective!$AH$19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7-4A6B-48C1-A07E-C299D5851D62}"/>
                </c:ext>
              </c:extLst>
            </c:dLbl>
            <c:dLbl>
              <c:idx val="17"/>
              <c:tx>
                <c:strRef>
                  <c:f>Inducer_perspective!$AH$20</c:f>
                  <c:strCache>
                    <c:ptCount val="1"/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{745595FE-8B20-450E-96D2-08360D0CD395}</c15:txfldGUID>
                      <c15:f>Inducer_perspective!$AH$20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8-4A6B-48C1-A07E-C299D5851D62}"/>
                </c:ext>
              </c:extLst>
            </c:dLbl>
            <c:dLbl>
              <c:idx val="18"/>
              <c:tx>
                <c:strRef>
                  <c:f>Inducer_perspective!$AH$21</c:f>
                  <c:strCache>
                    <c:ptCount val="1"/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{36A6BCE8-48FC-4DA8-80CC-D84552B82C84}</c15:txfldGUID>
                      <c15:f>Inducer_perspective!$AH$21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9-4A6B-48C1-A07E-C299D5851D62}"/>
                </c:ext>
              </c:extLst>
            </c:dLbl>
            <c:dLbl>
              <c:idx val="19"/>
              <c:tx>
                <c:strRef>
                  <c:f>Inducer_perspective!$AH$22</c:f>
                  <c:strCache>
                    <c:ptCount val="1"/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{A6040D86-090D-45E9-BCFE-1165DCEC6210}</c15:txfldGUID>
                      <c15:f>Inducer_perspective!$AH$22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A-4A6B-48C1-A07E-C299D5851D62}"/>
                </c:ext>
              </c:extLst>
            </c:dLbl>
            <c:dLbl>
              <c:idx val="20"/>
              <c:tx>
                <c:strRef>
                  <c:f>Inducer_perspective!$AH$23</c:f>
                  <c:strCache>
                    <c:ptCount val="1"/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{8CD42C6D-48A1-43FB-BE47-C8A86F92DC38}</c15:txfldGUID>
                      <c15:f>Inducer_perspective!$AH$23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B-4A6B-48C1-A07E-C299D5851D62}"/>
                </c:ext>
              </c:extLst>
            </c:dLbl>
            <c:dLbl>
              <c:idx val="21"/>
              <c:tx>
                <c:strRef>
                  <c:f>Inducer_perspective!$AH$24</c:f>
                  <c:strCache>
                    <c:ptCount val="1"/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{90CC5C47-B88B-4F3F-9DC8-83FA66C2B77E}</c15:txfldGUID>
                      <c15:f>Inducer_perspective!$AH$24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C-4A6B-48C1-A07E-C299D5851D62}"/>
                </c:ext>
              </c:extLst>
            </c:dLbl>
            <c:dLbl>
              <c:idx val="22"/>
              <c:tx>
                <c:strRef>
                  <c:f>Inducer_perspective!$AH$25</c:f>
                  <c:strCache>
                    <c:ptCount val="1"/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{E581D87E-D757-4D2E-995B-39F341700A1F}</c15:txfldGUID>
                      <c15:f>Inducer_perspective!$AH$25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D-4A6B-48C1-A07E-C299D5851D62}"/>
                </c:ext>
              </c:extLst>
            </c:dLbl>
            <c:dLbl>
              <c:idx val="23"/>
              <c:tx>
                <c:strRef>
                  <c:f>Inducer_perspective!$AH$26</c:f>
                  <c:strCache>
                    <c:ptCount val="1"/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{2535EC8E-BFCD-4071-BE42-81310FB2E41F}</c15:txfldGUID>
                      <c15:f>Inducer_perspective!$AH$26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E-4A6B-48C1-A07E-C299D5851D62}"/>
                </c:ext>
              </c:extLst>
            </c:dLbl>
            <c:dLbl>
              <c:idx val="24"/>
              <c:tx>
                <c:strRef>
                  <c:f>Inducer_perspective!$AH$27</c:f>
                  <c:strCache>
                    <c:ptCount val="1"/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{559C750E-5825-4C4C-8930-814AFBE9D2B4}</c15:txfldGUID>
                      <c15:f>Inducer_perspective!$AH$27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F-4A6B-48C1-A07E-C299D5851D62}"/>
                </c:ext>
              </c:extLst>
            </c:dLbl>
            <c:dLbl>
              <c:idx val="25"/>
              <c:tx>
                <c:strRef>
                  <c:f>Inducer_perspective!$AH$28</c:f>
                  <c:strCache>
                    <c:ptCount val="1"/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{D364BE33-8884-47FD-ADF4-E7E3490AD814}</c15:txfldGUID>
                      <c15:f>Inducer_perspective!$AH$28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0-4A6B-48C1-A07E-C299D5851D62}"/>
                </c:ext>
              </c:extLst>
            </c:dLbl>
            <c:dLbl>
              <c:idx val="26"/>
              <c:tx>
                <c:strRef>
                  <c:f>Inducer_perspective!$AH$29</c:f>
                  <c:strCache>
                    <c:ptCount val="1"/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{14849A31-C788-4E4B-8108-2E97BCC1952E}</c15:txfldGUID>
                      <c15:f>Inducer_perspective!$AH$29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1-4A6B-48C1-A07E-C299D5851D62}"/>
                </c:ext>
              </c:extLst>
            </c:dLbl>
            <c:dLbl>
              <c:idx val="27"/>
              <c:tx>
                <c:strRef>
                  <c:f>Inducer_perspective!$AH$30</c:f>
                  <c:strCache>
                    <c:ptCount val="1"/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{2A6AA140-9DD0-431D-B7C8-4326CCD1A316}</c15:txfldGUID>
                      <c15:f>Inducer_perspective!$AH$30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2-4A6B-48C1-A07E-C299D5851D62}"/>
                </c:ext>
              </c:extLst>
            </c:dLbl>
            <c:dLbl>
              <c:idx val="28"/>
              <c:tx>
                <c:strRef>
                  <c:f>Inducer_perspective!$AH$31</c:f>
                  <c:strCache>
                    <c:ptCount val="1"/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{53CC5A3B-5DC2-47F1-A8C8-1440365552A7}</c15:txfldGUID>
                      <c15:f>Inducer_perspective!$AH$31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3-4A6B-48C1-A07E-C299D5851D62}"/>
                </c:ext>
              </c:extLst>
            </c:dLbl>
            <c:dLbl>
              <c:idx val="29"/>
              <c:tx>
                <c:strRef>
                  <c:f>Inducer_perspective!$AH$32</c:f>
                  <c:strCache>
                    <c:ptCount val="1"/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{7620E4D7-E56C-41F2-ACDF-8442B5DD8DBF}</c15:txfldGUID>
                      <c15:f>Inducer_perspective!$AH$32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4-4A6B-48C1-A07E-C299D5851D62}"/>
                </c:ext>
              </c:extLst>
            </c:dLbl>
            <c:dLbl>
              <c:idx val="30"/>
              <c:tx>
                <c:strRef>
                  <c:f>Inducer_perspective!$AH$33</c:f>
                  <c:strCache>
                    <c:ptCount val="1"/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{E47607E5-26CC-4A47-A17D-D4070840FC46}</c15:txfldGUID>
                      <c15:f>Inducer_perspective!$AH$33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5-4A6B-48C1-A07E-C299D5851D62}"/>
                </c:ext>
              </c:extLst>
            </c:dLbl>
            <c:dLbl>
              <c:idx val="31"/>
              <c:tx>
                <c:strRef>
                  <c:f>Inducer_perspective!$AH$34</c:f>
                  <c:strCache>
                    <c:ptCount val="1"/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{51AE333F-EFF1-4C82-BEDA-F18D9153BCD0}</c15:txfldGUID>
                      <c15:f>Inducer_perspective!$AH$34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6-4A6B-48C1-A07E-C299D5851D62}"/>
                </c:ext>
              </c:extLst>
            </c:dLbl>
            <c:dLbl>
              <c:idx val="32"/>
              <c:tx>
                <c:strRef>
                  <c:f>Inducer_perspective!$AH$35</c:f>
                  <c:strCache>
                    <c:ptCount val="1"/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{1B4A50E5-5A75-413D-A03D-FE13EDE208DE}</c15:txfldGUID>
                      <c15:f>Inducer_perspective!$AH$35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7-4A6B-48C1-A07E-C299D5851D62}"/>
                </c:ext>
              </c:extLst>
            </c:dLbl>
            <c:dLbl>
              <c:idx val="33"/>
              <c:tx>
                <c:strRef>
                  <c:f>Inducer_perspective!$AH$36</c:f>
                  <c:strCache>
                    <c:ptCount val="1"/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{E82449AA-F643-44E5-B4F9-9FF55B5C5B03}</c15:txfldGUID>
                      <c15:f>Inducer_perspective!$AH$36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8-4A6B-48C1-A07E-C299D5851D62}"/>
                </c:ext>
              </c:extLst>
            </c:dLbl>
            <c:dLbl>
              <c:idx val="34"/>
              <c:tx>
                <c:strRef>
                  <c:f>Inducer_perspective!$AH$37</c:f>
                  <c:strCache>
                    <c:ptCount val="1"/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{7D62DCE1-2D95-4E2B-9CD8-0D12D2065273}</c15:txfldGUID>
                      <c15:f>Inducer_perspective!$AH$37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9-4A6B-48C1-A07E-C299D5851D62}"/>
                </c:ext>
              </c:extLst>
            </c:dLbl>
            <c:dLbl>
              <c:idx val="35"/>
              <c:tx>
                <c:strRef>
                  <c:f>Inducer_perspective!$AH$38</c:f>
                  <c:strCache>
                    <c:ptCount val="1"/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{874A018A-2CA1-4F0E-9A84-98EF8F663D46}</c15:txfldGUID>
                      <c15:f>Inducer_perspective!$AH$38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A-4A6B-48C1-A07E-C299D5851D62}"/>
                </c:ext>
              </c:extLst>
            </c:dLbl>
            <c:dLbl>
              <c:idx val="36"/>
              <c:tx>
                <c:strRef>
                  <c:f>Inducer_perspective!$AH$39</c:f>
                  <c:strCache>
                    <c:ptCount val="1"/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{20F5E7AC-8413-439E-AB80-E793D050766D}</c15:txfldGUID>
                      <c15:f>Inducer_perspective!$AH$39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B-4A6B-48C1-A07E-C299D5851D62}"/>
                </c:ext>
              </c:extLst>
            </c:dLbl>
            <c:dLbl>
              <c:idx val="37"/>
              <c:tx>
                <c:strRef>
                  <c:f>Inducer_perspective!$AH$40</c:f>
                  <c:strCache>
                    <c:ptCount val="1"/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{3D90576A-BD1F-490F-B441-F4E9ED9C6A41}</c15:txfldGUID>
                      <c15:f>Inducer_perspective!$AH$40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C-4A6B-48C1-A07E-C299D5851D62}"/>
                </c:ext>
              </c:extLst>
            </c:dLbl>
            <c:dLbl>
              <c:idx val="38"/>
              <c:tx>
                <c:strRef>
                  <c:f>Inducer_perspective!$AH$41</c:f>
                  <c:strCache>
                    <c:ptCount val="1"/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{72DAE64C-134A-425E-BD9C-C94C07BDB867}</c15:txfldGUID>
                      <c15:f>Inducer_perspective!$AH$41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D-4A6B-48C1-A07E-C299D5851D62}"/>
                </c:ext>
              </c:extLst>
            </c:dLbl>
            <c:dLbl>
              <c:idx val="39"/>
              <c:tx>
                <c:strRef>
                  <c:f>Inducer_perspective!$AH$42</c:f>
                  <c:strCache>
                    <c:ptCount val="1"/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{612E3127-980F-466E-A92D-6C5B0F4C0863}</c15:txfldGUID>
                      <c15:f>Inducer_perspective!$AH$42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E-4A6B-48C1-A07E-C299D5851D62}"/>
                </c:ext>
              </c:extLst>
            </c:dLbl>
            <c:dLbl>
              <c:idx val="40"/>
              <c:tx>
                <c:strRef>
                  <c:f>Inducer_perspective!$AH$43</c:f>
                  <c:strCache>
                    <c:ptCount val="1"/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{7159257E-C20F-41E4-A1AC-5551FBF77FB0}</c15:txfldGUID>
                      <c15:f>Inducer_perspective!$AH$43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F-4A6B-48C1-A07E-C299D5851D62}"/>
                </c:ext>
              </c:extLst>
            </c:dLbl>
            <c:dLbl>
              <c:idx val="41"/>
              <c:tx>
                <c:strRef>
                  <c:f>Inducer_perspective!$AH$44</c:f>
                  <c:strCache>
                    <c:ptCount val="1"/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{3220441E-1782-4879-9350-072573516728}</c15:txfldGUID>
                      <c15:f>Inducer_perspective!$AH$44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0-4A6B-48C1-A07E-C299D5851D62}"/>
                </c:ext>
              </c:extLst>
            </c:dLbl>
            <c:dLbl>
              <c:idx val="42"/>
              <c:tx>
                <c:strRef>
                  <c:f>Inducer_perspective!$AH$45</c:f>
                  <c:strCache>
                    <c:ptCount val="1"/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{6E3504A4-FA6A-4DC9-81EA-25608A388F30}</c15:txfldGUID>
                      <c15:f>Inducer_perspective!$AH$45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1-4A6B-48C1-A07E-C299D5851D62}"/>
                </c:ext>
              </c:extLst>
            </c:dLbl>
            <c:dLbl>
              <c:idx val="43"/>
              <c:tx>
                <c:strRef>
                  <c:f>Inducer_perspective!$AH$46</c:f>
                  <c:strCache>
                    <c:ptCount val="1"/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{156E7BD4-8C61-4C0B-AD55-FFD8DED83395}</c15:txfldGUID>
                      <c15:f>Inducer_perspective!$AH$46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2-4A6B-48C1-A07E-C299D5851D62}"/>
                </c:ext>
              </c:extLst>
            </c:dLbl>
            <c:dLbl>
              <c:idx val="44"/>
              <c:tx>
                <c:strRef>
                  <c:f>Inducer_perspective!$AH$47</c:f>
                  <c:strCache>
                    <c:ptCount val="1"/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{8A4FEC32-24DD-4374-90E6-53CE5720877D}</c15:txfldGUID>
                      <c15:f>Inducer_perspective!$AH$47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3-4A6B-48C1-A07E-C299D5851D62}"/>
                </c:ext>
              </c:extLst>
            </c:dLbl>
            <c:dLbl>
              <c:idx val="45"/>
              <c:tx>
                <c:strRef>
                  <c:f>Inducer_perspective!$AH$48</c:f>
                  <c:strCache>
                    <c:ptCount val="1"/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{A79B90CB-B70A-4B4D-98BE-ED88F69757AA}</c15:txfldGUID>
                      <c15:f>Inducer_perspective!$AH$48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4-4A6B-48C1-A07E-C299D5851D62}"/>
                </c:ext>
              </c:extLst>
            </c:dLbl>
            <c:dLbl>
              <c:idx val="46"/>
              <c:tx>
                <c:strRef>
                  <c:f>Inducer_perspective!$AH$49</c:f>
                  <c:strCache>
                    <c:ptCount val="1"/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{5962AFEA-99A4-417D-8CA9-4465124527F2}</c15:txfldGUID>
                      <c15:f>Inducer_perspective!$AH$49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5-4A6B-48C1-A07E-C299D5851D62}"/>
                </c:ext>
              </c:extLst>
            </c:dLbl>
            <c:dLbl>
              <c:idx val="47"/>
              <c:tx>
                <c:strRef>
                  <c:f>Inducer_perspective!$AH$50</c:f>
                  <c:strCache>
                    <c:ptCount val="1"/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{01FE1BB8-7432-450B-8E8D-93FDFA3AE999}</c15:txfldGUID>
                      <c15:f>Inducer_perspective!$AH$50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6-4A6B-48C1-A07E-C299D5851D62}"/>
                </c:ext>
              </c:extLst>
            </c:dLbl>
            <c:dLbl>
              <c:idx val="48"/>
              <c:tx>
                <c:strRef>
                  <c:f>Inducer_perspective!$AH$51</c:f>
                  <c:strCache>
                    <c:ptCount val="1"/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{DBC3B88A-491E-4A30-8379-592D38DC4BF1}</c15:txfldGUID>
                      <c15:f>Inducer_perspective!$AH$51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7-4A6B-48C1-A07E-C299D5851D62}"/>
                </c:ext>
              </c:extLst>
            </c:dLbl>
            <c:dLbl>
              <c:idx val="49"/>
              <c:tx>
                <c:strRef>
                  <c:f>Inducer_perspective!$AH$52</c:f>
                  <c:strCache>
                    <c:ptCount val="1"/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{4D21C857-1E09-4AC4-B9F2-0D8341ACFDFA}</c15:txfldGUID>
                      <c15:f>Inducer_perspective!$AH$52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8-4A6B-48C1-A07E-C299D5851D6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Inducer_perspective!$AF$3:$AF$52</c:f>
              <c:numCache>
                <c:formatCode>0.00E+00</c:formatCode>
                <c:ptCount val="50"/>
                <c:pt idx="0">
                  <c:v>7.1632319510539961</c:v>
                </c:pt>
                <c:pt idx="1">
                  <c:v>26.731209690162459</c:v>
                </c:pt>
                <c:pt idx="2">
                  <c:v>41.834378210820432</c:v>
                </c:pt>
                <c:pt idx="3">
                  <c:v>59.788169212588841</c:v>
                </c:pt>
                <c:pt idx="4">
                  <c:v>79.096136062846313</c:v>
                </c:pt>
                <c:pt idx="5">
                  <c:v>89.150395924801927</c:v>
                </c:pt>
                <c:pt idx="6">
                  <c:v>97.57602860283248</c:v>
                </c:pt>
              </c:numCache>
            </c:numRef>
          </c:xVal>
          <c:yVal>
            <c:numRef>
              <c:f>Inducer_perspective!$AG$3:$AG$52</c:f>
              <c:numCache>
                <c:formatCode>0.00E+00</c:formatCode>
                <c:ptCount val="50"/>
                <c:pt idx="0">
                  <c:v>5.4750630744582803E-3</c:v>
                </c:pt>
                <c:pt idx="1">
                  <c:v>7.3518019113188509E-3</c:v>
                </c:pt>
                <c:pt idx="2">
                  <c:v>1.7400471389272084E-2</c:v>
                </c:pt>
                <c:pt idx="3">
                  <c:v>3.2212205227426384E-2</c:v>
                </c:pt>
                <c:pt idx="4">
                  <c:v>3.3382977151359822E-2</c:v>
                </c:pt>
                <c:pt idx="5">
                  <c:v>3.8276134592135268E-2</c:v>
                </c:pt>
                <c:pt idx="6">
                  <c:v>9.2335182042829061E-2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4A6B-48C1-A07E-C299D5851D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0599296"/>
        <c:axId val="270601216"/>
      </c:scatterChart>
      <c:dateAx>
        <c:axId val="270599296"/>
        <c:scaling>
          <c:orientation val="minMax"/>
        </c:scaling>
        <c:delete val="0"/>
        <c:axPos val="b"/>
        <c:title>
          <c:tx>
            <c:strRef>
              <c:f>Inducer_perspective!$C$2</c:f>
              <c:strCache>
                <c:ptCount val="1"/>
                <c:pt idx="0">
                  <c:v>population fraction %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out"/>
        <c:minorTickMark val="out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0601216"/>
        <c:crosses val="autoZero"/>
        <c:auto val="0"/>
        <c:lblOffset val="100"/>
        <c:baseTimeUnit val="days"/>
        <c:majorUnit val="10"/>
        <c:majorTimeUnit val="days"/>
        <c:minorUnit val="5"/>
        <c:minorTimeUnit val="days"/>
      </c:dateAx>
      <c:valAx>
        <c:axId val="270601216"/>
        <c:scaling>
          <c:orientation val="minMax"/>
        </c:scaling>
        <c:delete val="0"/>
        <c:axPos val="l"/>
        <c:title>
          <c:tx>
            <c:strRef>
              <c:f>Inducer_perspective!$K$2</c:f>
              <c:strCache>
                <c:ptCount val="1"/>
                <c:pt idx="0">
                  <c:v>DALY per capita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0599296"/>
        <c:crossesAt val="0"/>
        <c:crossBetween val="between"/>
      </c:valAx>
      <c:spPr>
        <a:noFill/>
        <a:ln w="25400">
          <a:noFill/>
        </a:ln>
        <a:effectLst/>
      </c:spPr>
    </c:plotArea>
    <c:legend>
      <c:legendPos val="t"/>
      <c:legendEntry>
        <c:idx val="7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757933</xdr:colOff>
      <xdr:row>43</xdr:row>
      <xdr:rowOff>59054</xdr:rowOff>
    </xdr:from>
    <xdr:to>
      <xdr:col>10</xdr:col>
      <xdr:colOff>532913</xdr:colOff>
      <xdr:row>76</xdr:row>
      <xdr:rowOff>102552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3A7FBA9-1DB3-435C-806A-B2B3662ECD48}"/>
            </a:ext>
          </a:extLst>
        </xdr:cNvPr>
        <xdr:cNvSpPr txBox="1"/>
      </xdr:nvSpPr>
      <xdr:spPr>
        <a:xfrm>
          <a:off x="3278883" y="8161654"/>
          <a:ext cx="9211080" cy="612044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US" sz="1200"/>
            <a:t>based on:</a:t>
          </a:r>
        </a:p>
        <a:p>
          <a:r>
            <a:rPr lang="en-US" sz="1200"/>
            <a:t>http://andypope.info/charts/colwidth2.htm</a:t>
          </a:r>
        </a:p>
        <a:p>
          <a:r>
            <a:rPr lang="en-US" sz="1200"/>
            <a:t>"stacked" example</a:t>
          </a:r>
        </a:p>
        <a:p>
          <a:endParaRPr lang="en-US" sz="1200"/>
        </a:p>
        <a:p>
          <a:r>
            <a:rPr lang="en-US" sz="1200"/>
            <a:t>As with the other sheets in the workbook, this shows</a:t>
          </a:r>
          <a:r>
            <a:rPr lang="en-US" sz="1200" baseline="0"/>
            <a:t> two graphs:</a:t>
          </a:r>
        </a:p>
        <a:p>
          <a:r>
            <a:rPr lang="en-US" sz="1200" baseline="0"/>
            <a:t>top = intermediate</a:t>
          </a:r>
        </a:p>
        <a:p>
          <a:r>
            <a:rPr lang="en-US" sz="1200" baseline="0"/>
            <a:t>bottom = final (with series markers hidden)</a:t>
          </a:r>
          <a:endParaRPr lang="en-US" sz="1200"/>
        </a:p>
        <a:p>
          <a:endParaRPr lang="en-US" sz="1200"/>
        </a:p>
        <a:p>
          <a:r>
            <a:rPr lang="en-US" sz="1200"/>
            <a:t>this</a:t>
          </a:r>
          <a:r>
            <a:rPr lang="en-US" sz="1200" baseline="0"/>
            <a:t> graph requires the following (counter-intuitive) setup:</a:t>
          </a:r>
          <a:endParaRPr lang="en-US" sz="1200"/>
        </a:p>
        <a:p>
          <a:r>
            <a:rPr lang="en-US" sz="1200"/>
            <a:t>the source data for the area graph</a:t>
          </a:r>
          <a:r>
            <a:rPr lang="en-US" sz="1200" baseline="0"/>
            <a:t> must be in groups of 3 (except for 1st and last row).  Each entry must 3 rows with :</a:t>
          </a:r>
        </a:p>
        <a:p>
          <a:r>
            <a:rPr lang="en-US" sz="1200" baseline="0"/>
            <a:t>row 1: previous entry's value</a:t>
          </a:r>
        </a:p>
        <a:p>
          <a:r>
            <a:rPr lang="en-US" sz="1200" baseline="0"/>
            <a:t>row 2: 0</a:t>
          </a:r>
        </a:p>
        <a:p>
          <a:r>
            <a:rPr lang="en-US" sz="1200" baseline="0"/>
            <a:t>row 3: this entry's value</a:t>
          </a:r>
        </a:p>
        <a:p>
          <a:endParaRPr lang="en-US" sz="1200" baseline="0"/>
        </a:p>
        <a:p>
          <a:r>
            <a:rPr lang="en-US" sz="1200" baseline="0"/>
            <a:t>also, the x-axis is formatted as date</a:t>
          </a:r>
        </a:p>
        <a:p>
          <a:endParaRPr lang="en-US" sz="1200" baseline="0"/>
        </a:p>
        <a:p>
          <a:r>
            <a:rPr lang="en-US" sz="1200" baseline="0"/>
            <a:t>sorting:</a:t>
          </a:r>
        </a:p>
        <a:p>
          <a:r>
            <a:rPr lang="en-US" sz="1200" baseline="0"/>
            <a:t>the "mydata" range can be sorted using filters.</a:t>
          </a:r>
        </a:p>
        <a:p>
          <a:endParaRPr lang="en-US" sz="1200" baseline="0"/>
        </a:p>
        <a:p>
          <a:r>
            <a:rPr lang="en-US" sz="1200" baseline="0"/>
            <a:t>top 20 states + 30 others, etc.</a:t>
          </a:r>
        </a:p>
        <a:p>
          <a:r>
            <a:rPr lang="en-US" sz="1200" baseline="0"/>
            <a:t>I do have a good solution here yet.</a:t>
          </a:r>
        </a:p>
        <a:p>
          <a:r>
            <a:rPr lang="en-US" sz="1200" baseline="0"/>
            <a:t>deleting data has been causing crashes, and filtering does remove one set of data, but the data are 3x as long as the labels...</a:t>
          </a:r>
        </a:p>
        <a:p>
          <a:endParaRPr lang="en-US" sz="1200" baseline="0"/>
        </a:p>
        <a:p>
          <a:r>
            <a:rPr lang="en-US" sz="1200" baseline="0"/>
            <a:t>however, it appears that the source data (in the named range "dataSource") can be deleted; if this were linked to another source, then this could be done and undone by dragging formulae.</a:t>
          </a:r>
        </a:p>
        <a:p>
          <a:endParaRPr lang="en-US" sz="1200" baseline="0"/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aseline="0">
              <a:solidFill>
                <a:schemeClr val="dk1"/>
              </a:solidFill>
              <a:latin typeface="+mn-lt"/>
              <a:ea typeface="+mn-ea"/>
              <a:cs typeface="+mn-cs"/>
            </a:rPr>
            <a:t>alternatively, the x-axis range could be reduced, and the range from which the labels draw could be manually reduced to just show, e.g., the top 10.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 baseline="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Andrew Henderson,  henderad@umich.edu</a:t>
          </a:r>
          <a:endParaRPr lang="en-US" sz="1200"/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/>
        </a:p>
        <a:p>
          <a:endParaRPr lang="en-US" sz="1200" baseline="0"/>
        </a:p>
      </xdr:txBody>
    </xdr:sp>
    <xdr:clientData/>
  </xdr:twoCellAnchor>
  <xdr:twoCellAnchor editAs="oneCell">
    <xdr:from>
      <xdr:col>3</xdr:col>
      <xdr:colOff>397120</xdr:colOff>
      <xdr:row>13</xdr:row>
      <xdr:rowOff>160460</xdr:rowOff>
    </xdr:from>
    <xdr:to>
      <xdr:col>11</xdr:col>
      <xdr:colOff>1182931</xdr:colOff>
      <xdr:row>45</xdr:row>
      <xdr:rowOff>149715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55C8FCB-07D6-494B-A652-4D2F210C91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earu\OneDrive\Damage%20modeling_1\GHGs%20from%20EIO_LCA%20database\Area%20graphs\variable_width_column_template4i_lea_receptor.xlsx" TargetMode="External"/><Relationship Id="rId1" Type="http://schemas.openxmlformats.org/officeDocument/2006/relationships/externalLinkPath" Target="file:///C:\Users\learu\OneDrive\Damage%20modeling_1\GHGs%20from%20EIO_LCA%20database\Area%20graphs\variable_width_column_template4i_lea_recepto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arWidth_rankImpact"/>
      <sheetName val="VarWidth_rankImpact_log"/>
      <sheetName val="Operational receptor_"/>
      <sheetName val="varWidth_stacked_adjust"/>
    </sheetNames>
    <sheetDataSet>
      <sheetData sheetId="0"/>
      <sheetData sheetId="1"/>
      <sheetData sheetId="2">
        <row r="2">
          <cell r="C2" t="str">
            <v>population fraction %</v>
          </cell>
        </row>
      </sheetData>
      <sheetData sheetId="3">
        <row r="2">
          <cell r="F2">
            <v>200</v>
          </cell>
          <cell r="O2" t="str">
            <v>Others</v>
          </cell>
        </row>
        <row r="6">
          <cell r="B6">
            <v>1</v>
          </cell>
          <cell r="C6" t="e">
            <v>#REF!</v>
          </cell>
          <cell r="D6" t="e">
            <v>#REF!</v>
          </cell>
          <cell r="E6" t="e">
            <v>#REF!</v>
          </cell>
          <cell r="F6" t="e">
            <v>#REF!</v>
          </cell>
          <cell r="G6" t="e">
            <v>#REF!</v>
          </cell>
          <cell r="H6" t="e">
            <v>#REF!</v>
          </cell>
          <cell r="I6">
            <v>50</v>
          </cell>
          <cell r="J6" t="e">
            <v>#REF!</v>
          </cell>
          <cell r="L6">
            <v>20</v>
          </cell>
        </row>
        <row r="7">
          <cell r="B7">
            <v>2</v>
          </cell>
          <cell r="C7" t="e">
            <v>#REF!</v>
          </cell>
          <cell r="D7" t="e">
            <v>#REF!</v>
          </cell>
          <cell r="E7" t="e">
            <v>#REF!</v>
          </cell>
          <cell r="F7" t="e">
            <v>#REF!</v>
          </cell>
          <cell r="G7" t="e">
            <v>#REF!</v>
          </cell>
          <cell r="H7" t="e">
            <v>#REF!</v>
          </cell>
          <cell r="I7">
            <v>50</v>
          </cell>
          <cell r="J7" t="e">
            <v>#REF!</v>
          </cell>
        </row>
        <row r="8">
          <cell r="B8">
            <v>3</v>
          </cell>
          <cell r="C8" t="e">
            <v>#REF!</v>
          </cell>
          <cell r="D8" t="e">
            <v>#REF!</v>
          </cell>
          <cell r="E8" t="e">
            <v>#REF!</v>
          </cell>
          <cell r="F8" t="e">
            <v>#REF!</v>
          </cell>
          <cell r="G8" t="e">
            <v>#REF!</v>
          </cell>
          <cell r="H8" t="e">
            <v>#REF!</v>
          </cell>
          <cell r="I8">
            <v>100</v>
          </cell>
          <cell r="J8" t="e">
            <v>#REF!</v>
          </cell>
        </row>
        <row r="9">
          <cell r="B9">
            <v>4</v>
          </cell>
          <cell r="C9" t="e">
            <v>#REF!</v>
          </cell>
          <cell r="D9" t="e">
            <v>#REF!</v>
          </cell>
          <cell r="E9" t="e">
            <v>#REF!</v>
          </cell>
          <cell r="F9" t="e">
            <v>#REF!</v>
          </cell>
          <cell r="G9" t="e">
            <v>#REF!</v>
          </cell>
          <cell r="H9" t="e">
            <v>#REF!</v>
          </cell>
          <cell r="I9">
            <v>100</v>
          </cell>
          <cell r="J9" t="e">
            <v>#REF!</v>
          </cell>
        </row>
        <row r="10">
          <cell r="B10">
            <v>5</v>
          </cell>
          <cell r="C10" t="e">
            <v>#REF!</v>
          </cell>
          <cell r="D10" t="e">
            <v>#REF!</v>
          </cell>
          <cell r="E10" t="e">
            <v>#REF!</v>
          </cell>
          <cell r="F10" t="e">
            <v>#REF!</v>
          </cell>
          <cell r="G10" t="e">
            <v>#REF!</v>
          </cell>
          <cell r="H10" t="e">
            <v>#REF!</v>
          </cell>
          <cell r="I10">
            <v>200</v>
          </cell>
          <cell r="J10" t="e">
            <v>#REF!</v>
          </cell>
        </row>
        <row r="11">
          <cell r="B11">
            <v>6</v>
          </cell>
          <cell r="C11" t="e">
            <v>#REF!</v>
          </cell>
          <cell r="D11" t="e">
            <v>#REF!</v>
          </cell>
          <cell r="E11" t="e">
            <v>#REF!</v>
          </cell>
          <cell r="F11" t="e">
            <v>#REF!</v>
          </cell>
          <cell r="G11" t="e">
            <v>#REF!</v>
          </cell>
          <cell r="H11" t="e">
            <v>#REF!</v>
          </cell>
          <cell r="I11" t="e">
            <v>#REF!</v>
          </cell>
          <cell r="J11" t="e">
            <v>#REF!</v>
          </cell>
        </row>
        <row r="12">
          <cell r="B12">
            <v>7</v>
          </cell>
          <cell r="C12" t="e">
            <v>#REF!</v>
          </cell>
          <cell r="D12" t="e">
            <v>#REF!</v>
          </cell>
          <cell r="E12" t="e">
            <v>#REF!</v>
          </cell>
          <cell r="F12" t="e">
            <v>#REF!</v>
          </cell>
          <cell r="G12" t="e">
            <v>#REF!</v>
          </cell>
          <cell r="H12" t="e">
            <v>#REF!</v>
          </cell>
          <cell r="I12" t="e">
            <v>#REF!</v>
          </cell>
          <cell r="J12" t="e">
            <v>#REF!</v>
          </cell>
        </row>
        <row r="13">
          <cell r="B13">
            <v>8</v>
          </cell>
          <cell r="C13" t="e">
            <v>#REF!</v>
          </cell>
          <cell r="D13" t="e">
            <v>#REF!</v>
          </cell>
          <cell r="E13" t="e">
            <v>#REF!</v>
          </cell>
          <cell r="F13" t="e">
            <v>#REF!</v>
          </cell>
          <cell r="G13" t="e">
            <v>#REF!</v>
          </cell>
          <cell r="H13" t="e">
            <v>#REF!</v>
          </cell>
          <cell r="I13" t="e">
            <v>#REF!</v>
          </cell>
          <cell r="J13" t="e">
            <v>#REF!</v>
          </cell>
        </row>
        <row r="14">
          <cell r="B14">
            <v>9</v>
          </cell>
          <cell r="C14" t="e">
            <v>#REF!</v>
          </cell>
          <cell r="D14" t="e">
            <v>#REF!</v>
          </cell>
          <cell r="E14" t="e">
            <v>#REF!</v>
          </cell>
          <cell r="F14" t="e">
            <v>#REF!</v>
          </cell>
          <cell r="G14" t="e">
            <v>#REF!</v>
          </cell>
          <cell r="H14" t="e">
            <v>#REF!</v>
          </cell>
          <cell r="I14" t="e">
            <v>#REF!</v>
          </cell>
          <cell r="J14" t="e">
            <v>#REF!</v>
          </cell>
        </row>
        <row r="15">
          <cell r="B15">
            <v>10</v>
          </cell>
          <cell r="C15" t="e">
            <v>#REF!</v>
          </cell>
          <cell r="D15" t="e">
            <v>#REF!</v>
          </cell>
          <cell r="E15" t="e">
            <v>#REF!</v>
          </cell>
          <cell r="F15" t="e">
            <v>#REF!</v>
          </cell>
          <cell r="G15" t="e">
            <v>#REF!</v>
          </cell>
          <cell r="H15" t="e">
            <v>#REF!</v>
          </cell>
          <cell r="I15" t="e">
            <v>#REF!</v>
          </cell>
          <cell r="J15" t="e">
            <v>#REF!</v>
          </cell>
        </row>
        <row r="16">
          <cell r="B16">
            <v>11</v>
          </cell>
          <cell r="C16" t="e">
            <v>#REF!</v>
          </cell>
          <cell r="D16" t="e">
            <v>#REF!</v>
          </cell>
          <cell r="E16" t="e">
            <v>#REF!</v>
          </cell>
          <cell r="F16" t="e">
            <v>#REF!</v>
          </cell>
          <cell r="G16" t="e">
            <v>#REF!</v>
          </cell>
          <cell r="H16" t="e">
            <v>#REF!</v>
          </cell>
          <cell r="I16" t="e">
            <v>#REF!</v>
          </cell>
          <cell r="J16" t="e">
            <v>#REF!</v>
          </cell>
        </row>
        <row r="17">
          <cell r="B17">
            <v>12</v>
          </cell>
          <cell r="C17" t="e">
            <v>#REF!</v>
          </cell>
          <cell r="D17" t="e">
            <v>#REF!</v>
          </cell>
          <cell r="E17" t="e">
            <v>#REF!</v>
          </cell>
          <cell r="F17" t="e">
            <v>#REF!</v>
          </cell>
          <cell r="G17" t="e">
            <v>#REF!</v>
          </cell>
          <cell r="H17" t="e">
            <v>#REF!</v>
          </cell>
          <cell r="I17" t="e">
            <v>#REF!</v>
          </cell>
          <cell r="J17" t="e">
            <v>#REF!</v>
          </cell>
        </row>
        <row r="18">
          <cell r="B18">
            <v>13</v>
          </cell>
          <cell r="C18" t="e">
            <v>#REF!</v>
          </cell>
          <cell r="D18" t="e">
            <v>#REF!</v>
          </cell>
          <cell r="E18" t="e">
            <v>#REF!</v>
          </cell>
          <cell r="F18" t="e">
            <v>#REF!</v>
          </cell>
          <cell r="G18" t="e">
            <v>#REF!</v>
          </cell>
          <cell r="H18" t="e">
            <v>#REF!</v>
          </cell>
          <cell r="I18" t="e">
            <v>#REF!</v>
          </cell>
          <cell r="J18" t="e">
            <v>#REF!</v>
          </cell>
        </row>
        <row r="19">
          <cell r="B19">
            <v>14</v>
          </cell>
          <cell r="C19" t="e">
            <v>#REF!</v>
          </cell>
          <cell r="D19" t="e">
            <v>#REF!</v>
          </cell>
          <cell r="E19" t="e">
            <v>#REF!</v>
          </cell>
          <cell r="F19" t="e">
            <v>#REF!</v>
          </cell>
          <cell r="G19" t="e">
            <v>#REF!</v>
          </cell>
          <cell r="H19" t="e">
            <v>#REF!</v>
          </cell>
          <cell r="I19" t="e">
            <v>#REF!</v>
          </cell>
          <cell r="J19" t="e">
            <v>#REF!</v>
          </cell>
        </row>
        <row r="20">
          <cell r="B20">
            <v>15</v>
          </cell>
          <cell r="C20" t="e">
            <v>#REF!</v>
          </cell>
          <cell r="D20" t="e">
            <v>#REF!</v>
          </cell>
          <cell r="E20" t="e">
            <v>#REF!</v>
          </cell>
          <cell r="F20" t="e">
            <v>#REF!</v>
          </cell>
          <cell r="G20" t="e">
            <v>#REF!</v>
          </cell>
          <cell r="H20" t="e">
            <v>#REF!</v>
          </cell>
          <cell r="I20" t="e">
            <v>#REF!</v>
          </cell>
          <cell r="J20" t="e">
            <v>#REF!</v>
          </cell>
        </row>
        <row r="21">
          <cell r="B21">
            <v>16</v>
          </cell>
          <cell r="C21" t="e">
            <v>#REF!</v>
          </cell>
          <cell r="D21" t="e">
            <v>#REF!</v>
          </cell>
          <cell r="E21" t="e">
            <v>#REF!</v>
          </cell>
          <cell r="F21" t="e">
            <v>#REF!</v>
          </cell>
          <cell r="G21" t="e">
            <v>#REF!</v>
          </cell>
          <cell r="H21" t="e">
            <v>#REF!</v>
          </cell>
          <cell r="I21" t="e">
            <v>#REF!</v>
          </cell>
          <cell r="J21" t="e">
            <v>#REF!</v>
          </cell>
        </row>
        <row r="22">
          <cell r="B22">
            <v>17</v>
          </cell>
          <cell r="C22" t="e">
            <v>#REF!</v>
          </cell>
          <cell r="D22" t="e">
            <v>#REF!</v>
          </cell>
          <cell r="E22" t="e">
            <v>#REF!</v>
          </cell>
          <cell r="F22" t="e">
            <v>#REF!</v>
          </cell>
          <cell r="G22" t="e">
            <v>#REF!</v>
          </cell>
          <cell r="H22" t="e">
            <v>#REF!</v>
          </cell>
          <cell r="I22" t="e">
            <v>#REF!</v>
          </cell>
          <cell r="J22" t="e">
            <v>#REF!</v>
          </cell>
        </row>
        <row r="23">
          <cell r="B23">
            <v>18</v>
          </cell>
          <cell r="C23" t="e">
            <v>#REF!</v>
          </cell>
          <cell r="D23" t="e">
            <v>#REF!</v>
          </cell>
          <cell r="E23" t="e">
            <v>#REF!</v>
          </cell>
          <cell r="F23" t="e">
            <v>#REF!</v>
          </cell>
          <cell r="G23" t="e">
            <v>#REF!</v>
          </cell>
          <cell r="H23" t="e">
            <v>#REF!</v>
          </cell>
          <cell r="I23" t="e">
            <v>#REF!</v>
          </cell>
          <cell r="J23" t="e">
            <v>#REF!</v>
          </cell>
        </row>
        <row r="24">
          <cell r="B24">
            <v>19</v>
          </cell>
          <cell r="C24" t="e">
            <v>#REF!</v>
          </cell>
          <cell r="D24" t="e">
            <v>#REF!</v>
          </cell>
          <cell r="E24" t="e">
            <v>#REF!</v>
          </cell>
          <cell r="F24" t="e">
            <v>#REF!</v>
          </cell>
          <cell r="G24" t="e">
            <v>#REF!</v>
          </cell>
          <cell r="H24" t="e">
            <v>#REF!</v>
          </cell>
          <cell r="I24" t="e">
            <v>#REF!</v>
          </cell>
          <cell r="J24" t="e">
            <v>#REF!</v>
          </cell>
        </row>
        <row r="25">
          <cell r="B25">
            <v>20</v>
          </cell>
          <cell r="C25" t="e">
            <v>#REF!</v>
          </cell>
          <cell r="D25" t="e">
            <v>#REF!</v>
          </cell>
          <cell r="E25" t="e">
            <v>#REF!</v>
          </cell>
          <cell r="F25" t="e">
            <v>#REF!</v>
          </cell>
          <cell r="G25" t="e">
            <v>#REF!</v>
          </cell>
          <cell r="H25" t="e">
            <v>#REF!</v>
          </cell>
          <cell r="I25" t="e">
            <v>#REF!</v>
          </cell>
          <cell r="J25" t="e">
            <v>#REF!</v>
          </cell>
        </row>
        <row r="26">
          <cell r="B26">
            <v>21</v>
          </cell>
          <cell r="C26" t="e">
            <v>#REF!</v>
          </cell>
          <cell r="D26" t="e">
            <v>#REF!</v>
          </cell>
          <cell r="E26" t="e">
            <v>#REF!</v>
          </cell>
          <cell r="F26" t="e">
            <v>#REF!</v>
          </cell>
          <cell r="G26" t="e">
            <v>#REF!</v>
          </cell>
          <cell r="H26" t="e">
            <v>#REF!</v>
          </cell>
          <cell r="I26" t="e">
            <v>#REF!</v>
          </cell>
          <cell r="J26" t="e">
            <v>#REF!</v>
          </cell>
        </row>
        <row r="27">
          <cell r="B27">
            <v>22</v>
          </cell>
          <cell r="C27" t="e">
            <v>#REF!</v>
          </cell>
          <cell r="D27" t="e">
            <v>#REF!</v>
          </cell>
          <cell r="E27" t="e">
            <v>#REF!</v>
          </cell>
          <cell r="F27" t="e">
            <v>#REF!</v>
          </cell>
          <cell r="G27" t="e">
            <v>#REF!</v>
          </cell>
          <cell r="H27" t="e">
            <v>#REF!</v>
          </cell>
          <cell r="I27" t="e">
            <v>#REF!</v>
          </cell>
          <cell r="J27" t="e">
            <v>#REF!</v>
          </cell>
        </row>
        <row r="28">
          <cell r="B28">
            <v>23</v>
          </cell>
          <cell r="C28" t="e">
            <v>#REF!</v>
          </cell>
          <cell r="D28" t="e">
            <v>#REF!</v>
          </cell>
          <cell r="E28" t="e">
            <v>#REF!</v>
          </cell>
          <cell r="F28" t="e">
            <v>#REF!</v>
          </cell>
          <cell r="G28" t="e">
            <v>#REF!</v>
          </cell>
          <cell r="H28" t="e">
            <v>#REF!</v>
          </cell>
          <cell r="I28" t="e">
            <v>#REF!</v>
          </cell>
          <cell r="J28" t="e">
            <v>#REF!</v>
          </cell>
        </row>
        <row r="29">
          <cell r="B29">
            <v>24</v>
          </cell>
          <cell r="C29" t="e">
            <v>#REF!</v>
          </cell>
          <cell r="D29" t="e">
            <v>#REF!</v>
          </cell>
          <cell r="E29" t="e">
            <v>#REF!</v>
          </cell>
          <cell r="F29" t="e">
            <v>#REF!</v>
          </cell>
          <cell r="G29" t="e">
            <v>#REF!</v>
          </cell>
          <cell r="H29" t="e">
            <v>#REF!</v>
          </cell>
          <cell r="I29" t="e">
            <v>#REF!</v>
          </cell>
          <cell r="J29" t="e">
            <v>#REF!</v>
          </cell>
        </row>
        <row r="30">
          <cell r="B30">
            <v>25</v>
          </cell>
          <cell r="C30" t="e">
            <v>#REF!</v>
          </cell>
          <cell r="D30" t="e">
            <v>#REF!</v>
          </cell>
          <cell r="E30" t="e">
            <v>#REF!</v>
          </cell>
          <cell r="F30" t="e">
            <v>#REF!</v>
          </cell>
          <cell r="G30" t="e">
            <v>#REF!</v>
          </cell>
          <cell r="H30" t="e">
            <v>#REF!</v>
          </cell>
          <cell r="I30" t="e">
            <v>#REF!</v>
          </cell>
          <cell r="J30" t="e">
            <v>#REF!</v>
          </cell>
        </row>
        <row r="31">
          <cell r="B31">
            <v>26</v>
          </cell>
          <cell r="C31" t="e">
            <v>#REF!</v>
          </cell>
          <cell r="D31" t="e">
            <v>#REF!</v>
          </cell>
          <cell r="E31" t="e">
            <v>#REF!</v>
          </cell>
          <cell r="F31" t="e">
            <v>#REF!</v>
          </cell>
          <cell r="G31" t="e">
            <v>#REF!</v>
          </cell>
          <cell r="H31" t="e">
            <v>#REF!</v>
          </cell>
          <cell r="I31" t="e">
            <v>#REF!</v>
          </cell>
          <cell r="J31" t="e">
            <v>#REF!</v>
          </cell>
        </row>
        <row r="32">
          <cell r="B32">
            <v>27</v>
          </cell>
          <cell r="C32" t="e">
            <v>#REF!</v>
          </cell>
          <cell r="D32" t="e">
            <v>#REF!</v>
          </cell>
          <cell r="E32" t="e">
            <v>#REF!</v>
          </cell>
          <cell r="F32" t="e">
            <v>#REF!</v>
          </cell>
          <cell r="G32" t="e">
            <v>#REF!</v>
          </cell>
          <cell r="H32" t="e">
            <v>#REF!</v>
          </cell>
          <cell r="I32" t="e">
            <v>#REF!</v>
          </cell>
          <cell r="J32" t="e">
            <v>#REF!</v>
          </cell>
        </row>
        <row r="33">
          <cell r="B33">
            <v>28</v>
          </cell>
          <cell r="C33" t="e">
            <v>#REF!</v>
          </cell>
          <cell r="D33" t="e">
            <v>#REF!</v>
          </cell>
          <cell r="E33" t="e">
            <v>#REF!</v>
          </cell>
          <cell r="F33" t="e">
            <v>#REF!</v>
          </cell>
          <cell r="G33" t="e">
            <v>#REF!</v>
          </cell>
          <cell r="H33" t="e">
            <v>#REF!</v>
          </cell>
          <cell r="I33" t="e">
            <v>#REF!</v>
          </cell>
          <cell r="J33" t="e">
            <v>#REF!</v>
          </cell>
        </row>
        <row r="34">
          <cell r="B34">
            <v>29</v>
          </cell>
          <cell r="C34" t="e">
            <v>#REF!</v>
          </cell>
          <cell r="D34" t="e">
            <v>#REF!</v>
          </cell>
          <cell r="E34" t="e">
            <v>#REF!</v>
          </cell>
          <cell r="F34" t="e">
            <v>#REF!</v>
          </cell>
          <cell r="G34" t="e">
            <v>#REF!</v>
          </cell>
          <cell r="H34" t="e">
            <v>#REF!</v>
          </cell>
          <cell r="I34" t="e">
            <v>#REF!</v>
          </cell>
          <cell r="J34" t="e">
            <v>#REF!</v>
          </cell>
        </row>
        <row r="35">
          <cell r="B35">
            <v>30</v>
          </cell>
          <cell r="C35" t="e">
            <v>#REF!</v>
          </cell>
          <cell r="D35" t="e">
            <v>#REF!</v>
          </cell>
          <cell r="E35" t="e">
            <v>#REF!</v>
          </cell>
          <cell r="F35" t="e">
            <v>#REF!</v>
          </cell>
          <cell r="G35" t="e">
            <v>#REF!</v>
          </cell>
          <cell r="H35" t="e">
            <v>#REF!</v>
          </cell>
          <cell r="I35" t="e">
            <v>#REF!</v>
          </cell>
          <cell r="J35" t="e">
            <v>#REF!</v>
          </cell>
        </row>
        <row r="36">
          <cell r="B36">
            <v>31</v>
          </cell>
          <cell r="C36" t="e">
            <v>#REF!</v>
          </cell>
          <cell r="D36" t="e">
            <v>#REF!</v>
          </cell>
          <cell r="E36" t="e">
            <v>#REF!</v>
          </cell>
          <cell r="F36" t="e">
            <v>#REF!</v>
          </cell>
          <cell r="G36" t="e">
            <v>#REF!</v>
          </cell>
          <cell r="H36" t="e">
            <v>#REF!</v>
          </cell>
          <cell r="I36" t="e">
            <v>#REF!</v>
          </cell>
          <cell r="J36" t="e">
            <v>#REF!</v>
          </cell>
        </row>
        <row r="37">
          <cell r="B37">
            <v>32</v>
          </cell>
          <cell r="C37" t="e">
            <v>#REF!</v>
          </cell>
          <cell r="D37" t="e">
            <v>#REF!</v>
          </cell>
          <cell r="E37" t="e">
            <v>#REF!</v>
          </cell>
          <cell r="F37" t="e">
            <v>#REF!</v>
          </cell>
          <cell r="G37" t="e">
            <v>#REF!</v>
          </cell>
          <cell r="H37" t="e">
            <v>#REF!</v>
          </cell>
          <cell r="I37" t="e">
            <v>#REF!</v>
          </cell>
          <cell r="J37" t="e">
            <v>#REF!</v>
          </cell>
        </row>
        <row r="38">
          <cell r="B38">
            <v>33</v>
          </cell>
          <cell r="C38" t="e">
            <v>#REF!</v>
          </cell>
          <cell r="D38" t="e">
            <v>#REF!</v>
          </cell>
          <cell r="E38" t="e">
            <v>#REF!</v>
          </cell>
          <cell r="F38" t="e">
            <v>#REF!</v>
          </cell>
          <cell r="G38" t="e">
            <v>#REF!</v>
          </cell>
          <cell r="H38" t="e">
            <v>#REF!</v>
          </cell>
          <cell r="I38" t="e">
            <v>#REF!</v>
          </cell>
          <cell r="J38" t="e">
            <v>#REF!</v>
          </cell>
        </row>
        <row r="39">
          <cell r="B39">
            <v>34</v>
          </cell>
          <cell r="C39" t="e">
            <v>#REF!</v>
          </cell>
          <cell r="D39" t="e">
            <v>#REF!</v>
          </cell>
          <cell r="E39" t="e">
            <v>#REF!</v>
          </cell>
          <cell r="F39" t="e">
            <v>#REF!</v>
          </cell>
          <cell r="G39" t="e">
            <v>#REF!</v>
          </cell>
          <cell r="H39" t="e">
            <v>#REF!</v>
          </cell>
          <cell r="I39" t="e">
            <v>#REF!</v>
          </cell>
          <cell r="J39" t="e">
            <v>#REF!</v>
          </cell>
        </row>
        <row r="40">
          <cell r="B40">
            <v>35</v>
          </cell>
          <cell r="C40" t="e">
            <v>#REF!</v>
          </cell>
          <cell r="D40" t="e">
            <v>#REF!</v>
          </cell>
          <cell r="E40" t="e">
            <v>#REF!</v>
          </cell>
          <cell r="F40" t="e">
            <v>#REF!</v>
          </cell>
          <cell r="G40" t="e">
            <v>#REF!</v>
          </cell>
          <cell r="H40" t="e">
            <v>#REF!</v>
          </cell>
          <cell r="I40" t="e">
            <v>#REF!</v>
          </cell>
          <cell r="J40" t="e">
            <v>#REF!</v>
          </cell>
        </row>
        <row r="41">
          <cell r="B41">
            <v>36</v>
          </cell>
          <cell r="C41" t="e">
            <v>#REF!</v>
          </cell>
          <cell r="D41" t="e">
            <v>#REF!</v>
          </cell>
          <cell r="E41" t="e">
            <v>#REF!</v>
          </cell>
          <cell r="F41" t="e">
            <v>#REF!</v>
          </cell>
          <cell r="G41" t="e">
            <v>#REF!</v>
          </cell>
          <cell r="H41" t="e">
            <v>#REF!</v>
          </cell>
          <cell r="I41" t="e">
            <v>#REF!</v>
          </cell>
          <cell r="J41" t="e">
            <v>#REF!</v>
          </cell>
        </row>
        <row r="42">
          <cell r="B42">
            <v>37</v>
          </cell>
          <cell r="C42" t="e">
            <v>#REF!</v>
          </cell>
          <cell r="D42" t="e">
            <v>#REF!</v>
          </cell>
          <cell r="E42" t="e">
            <v>#REF!</v>
          </cell>
          <cell r="F42" t="e">
            <v>#REF!</v>
          </cell>
          <cell r="G42" t="e">
            <v>#REF!</v>
          </cell>
          <cell r="H42" t="e">
            <v>#REF!</v>
          </cell>
          <cell r="I42" t="e">
            <v>#REF!</v>
          </cell>
          <cell r="J42" t="e">
            <v>#REF!</v>
          </cell>
        </row>
        <row r="43">
          <cell r="B43">
            <v>38</v>
          </cell>
          <cell r="C43" t="e">
            <v>#REF!</v>
          </cell>
          <cell r="D43" t="e">
            <v>#REF!</v>
          </cell>
          <cell r="E43" t="e">
            <v>#REF!</v>
          </cell>
          <cell r="F43" t="e">
            <v>#REF!</v>
          </cell>
          <cell r="G43" t="e">
            <v>#REF!</v>
          </cell>
          <cell r="H43" t="e">
            <v>#REF!</v>
          </cell>
          <cell r="I43" t="e">
            <v>#REF!</v>
          </cell>
          <cell r="J43" t="e">
            <v>#REF!</v>
          </cell>
        </row>
        <row r="44">
          <cell r="B44">
            <v>39</v>
          </cell>
          <cell r="C44" t="e">
            <v>#REF!</v>
          </cell>
          <cell r="D44" t="e">
            <v>#REF!</v>
          </cell>
          <cell r="E44" t="e">
            <v>#REF!</v>
          </cell>
          <cell r="F44" t="e">
            <v>#REF!</v>
          </cell>
          <cell r="G44" t="e">
            <v>#REF!</v>
          </cell>
          <cell r="H44" t="e">
            <v>#REF!</v>
          </cell>
          <cell r="I44" t="e">
            <v>#REF!</v>
          </cell>
          <cell r="J44" t="e">
            <v>#REF!</v>
          </cell>
        </row>
        <row r="45">
          <cell r="B45">
            <v>40</v>
          </cell>
          <cell r="C45" t="e">
            <v>#REF!</v>
          </cell>
          <cell r="D45" t="e">
            <v>#REF!</v>
          </cell>
          <cell r="E45" t="e">
            <v>#REF!</v>
          </cell>
          <cell r="F45" t="e">
            <v>#REF!</v>
          </cell>
          <cell r="G45" t="e">
            <v>#REF!</v>
          </cell>
          <cell r="H45" t="e">
            <v>#REF!</v>
          </cell>
          <cell r="I45" t="e">
            <v>#REF!</v>
          </cell>
          <cell r="J45" t="e">
            <v>#REF!</v>
          </cell>
        </row>
        <row r="46">
          <cell r="B46">
            <v>41</v>
          </cell>
          <cell r="C46" t="e">
            <v>#REF!</v>
          </cell>
          <cell r="D46" t="e">
            <v>#REF!</v>
          </cell>
          <cell r="E46" t="e">
            <v>#REF!</v>
          </cell>
          <cell r="F46" t="e">
            <v>#REF!</v>
          </cell>
          <cell r="G46" t="e">
            <v>#REF!</v>
          </cell>
          <cell r="H46" t="e">
            <v>#REF!</v>
          </cell>
          <cell r="I46" t="e">
            <v>#REF!</v>
          </cell>
          <cell r="J46" t="e">
            <v>#REF!</v>
          </cell>
        </row>
        <row r="47">
          <cell r="B47">
            <v>42</v>
          </cell>
          <cell r="C47" t="e">
            <v>#REF!</v>
          </cell>
          <cell r="D47" t="e">
            <v>#REF!</v>
          </cell>
          <cell r="E47" t="e">
            <v>#REF!</v>
          </cell>
          <cell r="F47" t="e">
            <v>#REF!</v>
          </cell>
          <cell r="G47" t="e">
            <v>#REF!</v>
          </cell>
          <cell r="H47" t="e">
            <v>#REF!</v>
          </cell>
          <cell r="I47" t="e">
            <v>#REF!</v>
          </cell>
          <cell r="J47" t="e">
            <v>#REF!</v>
          </cell>
        </row>
        <row r="48">
          <cell r="B48">
            <v>43</v>
          </cell>
          <cell r="C48" t="e">
            <v>#REF!</v>
          </cell>
          <cell r="D48" t="e">
            <v>#REF!</v>
          </cell>
          <cell r="E48" t="e">
            <v>#REF!</v>
          </cell>
          <cell r="F48" t="e">
            <v>#REF!</v>
          </cell>
          <cell r="G48" t="e">
            <v>#REF!</v>
          </cell>
          <cell r="H48" t="e">
            <v>#REF!</v>
          </cell>
          <cell r="I48" t="e">
            <v>#REF!</v>
          </cell>
          <cell r="J48" t="e">
            <v>#REF!</v>
          </cell>
        </row>
        <row r="49">
          <cell r="B49">
            <v>44</v>
          </cell>
          <cell r="C49" t="e">
            <v>#REF!</v>
          </cell>
          <cell r="D49" t="e">
            <v>#REF!</v>
          </cell>
          <cell r="E49" t="e">
            <v>#REF!</v>
          </cell>
          <cell r="F49" t="e">
            <v>#REF!</v>
          </cell>
          <cell r="G49" t="e">
            <v>#REF!</v>
          </cell>
          <cell r="H49" t="e">
            <v>#REF!</v>
          </cell>
          <cell r="I49" t="e">
            <v>#REF!</v>
          </cell>
          <cell r="J49" t="e">
            <v>#REF!</v>
          </cell>
        </row>
        <row r="50">
          <cell r="B50">
            <v>45</v>
          </cell>
          <cell r="C50" t="e">
            <v>#REF!</v>
          </cell>
          <cell r="D50" t="e">
            <v>#REF!</v>
          </cell>
          <cell r="E50" t="e">
            <v>#REF!</v>
          </cell>
          <cell r="F50" t="e">
            <v>#REF!</v>
          </cell>
          <cell r="G50" t="e">
            <v>#REF!</v>
          </cell>
          <cell r="H50" t="e">
            <v>#REF!</v>
          </cell>
          <cell r="I50" t="e">
            <v>#REF!</v>
          </cell>
          <cell r="J50" t="e">
            <v>#REF!</v>
          </cell>
        </row>
        <row r="51">
          <cell r="B51">
            <v>46</v>
          </cell>
          <cell r="C51" t="e">
            <v>#REF!</v>
          </cell>
          <cell r="D51" t="e">
            <v>#REF!</v>
          </cell>
          <cell r="E51" t="e">
            <v>#REF!</v>
          </cell>
          <cell r="F51" t="e">
            <v>#REF!</v>
          </cell>
          <cell r="G51" t="e">
            <v>#REF!</v>
          </cell>
          <cell r="H51" t="e">
            <v>#REF!</v>
          </cell>
          <cell r="I51" t="e">
            <v>#REF!</v>
          </cell>
          <cell r="J51" t="e">
            <v>#REF!</v>
          </cell>
        </row>
        <row r="52">
          <cell r="B52">
            <v>47</v>
          </cell>
          <cell r="C52" t="e">
            <v>#REF!</v>
          </cell>
          <cell r="D52" t="e">
            <v>#REF!</v>
          </cell>
          <cell r="E52" t="e">
            <v>#REF!</v>
          </cell>
          <cell r="F52" t="e">
            <v>#REF!</v>
          </cell>
          <cell r="G52" t="e">
            <v>#REF!</v>
          </cell>
          <cell r="H52" t="e">
            <v>#REF!</v>
          </cell>
          <cell r="I52" t="e">
            <v>#REF!</v>
          </cell>
          <cell r="J52" t="e">
            <v>#REF!</v>
          </cell>
        </row>
        <row r="53">
          <cell r="B53">
            <v>48</v>
          </cell>
          <cell r="C53" t="e">
            <v>#REF!</v>
          </cell>
          <cell r="D53" t="e">
            <v>#REF!</v>
          </cell>
          <cell r="E53" t="e">
            <v>#REF!</v>
          </cell>
          <cell r="F53" t="e">
            <v>#REF!</v>
          </cell>
          <cell r="G53" t="e">
            <v>#REF!</v>
          </cell>
          <cell r="H53" t="e">
            <v>#REF!</v>
          </cell>
          <cell r="I53" t="e">
            <v>#REF!</v>
          </cell>
          <cell r="J53" t="e">
            <v>#REF!</v>
          </cell>
        </row>
        <row r="54">
          <cell r="B54">
            <v>49</v>
          </cell>
          <cell r="C54" t="e">
            <v>#REF!</v>
          </cell>
          <cell r="D54" t="e">
            <v>#REF!</v>
          </cell>
          <cell r="E54" t="e">
            <v>#REF!</v>
          </cell>
          <cell r="F54" t="e">
            <v>#REF!</v>
          </cell>
          <cell r="G54" t="e">
            <v>#REF!</v>
          </cell>
          <cell r="H54" t="e">
            <v>#REF!</v>
          </cell>
          <cell r="I54" t="e">
            <v>#REF!</v>
          </cell>
          <cell r="J54" t="e">
            <v>#REF!</v>
          </cell>
        </row>
        <row r="55">
          <cell r="B55">
            <v>50</v>
          </cell>
          <cell r="C55" t="e">
            <v>#REF!</v>
          </cell>
          <cell r="D55" t="e">
            <v>#REF!</v>
          </cell>
          <cell r="E55" t="e">
            <v>#REF!</v>
          </cell>
          <cell r="F55" t="e">
            <v>#REF!</v>
          </cell>
          <cell r="G55" t="e">
            <v>#REF!</v>
          </cell>
          <cell r="H55" t="e">
            <v>#REF!</v>
          </cell>
          <cell r="I55" t="e">
            <v>#REF!</v>
          </cell>
          <cell r="J55" t="e">
            <v>#REF!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530C9-1D5D-48B4-BCEE-730F90F407DA}">
  <dimension ref="B1:AH25"/>
  <sheetViews>
    <sheetView tabSelected="1" zoomScale="78" zoomScaleNormal="130" workbookViewId="0">
      <pane ySplit="2" topLeftCell="A3" activePane="bottomLeft" state="frozen"/>
      <selection pane="bottomLeft" activeCell="B23" sqref="B23"/>
    </sheetView>
  </sheetViews>
  <sheetFormatPr defaultRowHeight="14.5" x14ac:dyDescent="0.35"/>
  <cols>
    <col min="1" max="1" width="8.7265625" style="1"/>
    <col min="2" max="2" width="27.36328125" style="1" customWidth="1"/>
    <col min="3" max="3" width="16.08984375" style="1" customWidth="1"/>
    <col min="4" max="12" width="17" style="1" customWidth="1"/>
    <col min="13" max="18" width="8.7265625" style="1"/>
    <col min="19" max="19" width="12.36328125" style="1" customWidth="1"/>
    <col min="20" max="20" width="8.7265625" style="1"/>
    <col min="21" max="21" width="14.08984375" style="1" customWidth="1"/>
    <col min="22" max="27" width="15.6328125" style="1" customWidth="1"/>
    <col min="28" max="28" width="9.36328125" style="1" bestFit="1" customWidth="1"/>
    <col min="29" max="32" width="8.7265625" style="1"/>
    <col min="33" max="33" width="9.36328125" style="1" bestFit="1" customWidth="1"/>
    <col min="34" max="16384" width="8.7265625" style="1"/>
  </cols>
  <sheetData>
    <row r="1" spans="2:34" x14ac:dyDescent="0.35">
      <c r="C1" s="1" t="s">
        <v>0</v>
      </c>
      <c r="D1" s="1" t="s">
        <v>1</v>
      </c>
      <c r="E1" s="1" t="s">
        <v>2</v>
      </c>
      <c r="Q1" s="1" t="s">
        <v>3</v>
      </c>
      <c r="R1" s="1">
        <f>COLUMN(B1)-COLUMN($B$2)+1</f>
        <v>1</v>
      </c>
      <c r="S1" s="1" t="s">
        <v>3</v>
      </c>
      <c r="T1" s="1">
        <f>COLUMN(C1)-COLUMN($B$2)+1</f>
        <v>2</v>
      </c>
      <c r="U1" s="1">
        <f>COLUMN(D1)-COLUMN($B$2)+1</f>
        <v>3</v>
      </c>
      <c r="V1" s="1">
        <f>COLUMN(E1)-COLUMN($B$2)+1</f>
        <v>4</v>
      </c>
      <c r="W1" s="1">
        <f t="shared" ref="W1:AA1" si="0">COLUMN(F1)-COLUMN($B$2)+1</f>
        <v>5</v>
      </c>
      <c r="X1" s="1">
        <f t="shared" si="0"/>
        <v>6</v>
      </c>
      <c r="Y1" s="1">
        <f t="shared" si="0"/>
        <v>7</v>
      </c>
      <c r="Z1" s="1">
        <f t="shared" si="0"/>
        <v>8</v>
      </c>
      <c r="AA1" s="1">
        <f t="shared" si="0"/>
        <v>9</v>
      </c>
    </row>
    <row r="2" spans="2:34" ht="29" x14ac:dyDescent="0.35">
      <c r="B2" s="2" t="s">
        <v>4</v>
      </c>
      <c r="C2" s="2" t="s">
        <v>5</v>
      </c>
      <c r="D2" s="3" t="s">
        <v>6</v>
      </c>
      <c r="E2" s="3" t="s">
        <v>7</v>
      </c>
      <c r="F2" s="3" t="s">
        <v>8</v>
      </c>
      <c r="G2" s="3" t="s">
        <v>9</v>
      </c>
      <c r="H2" s="3" t="s">
        <v>10</v>
      </c>
      <c r="I2" s="3" t="s">
        <v>11</v>
      </c>
      <c r="J2" s="3" t="s">
        <v>12</v>
      </c>
      <c r="K2" s="2" t="s">
        <v>13</v>
      </c>
      <c r="L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/>
      <c r="T2" s="2"/>
      <c r="U2" s="2" t="str">
        <f>D2</f>
        <v>South Asia</v>
      </c>
      <c r="V2" s="2" t="str">
        <f>E2</f>
        <v>Europe &amp; Central Asia</v>
      </c>
      <c r="W2" s="2" t="str">
        <f t="shared" ref="W2:AA3" si="1">F2</f>
        <v>Middle East &amp; North Africa</v>
      </c>
      <c r="X2" s="2" t="str">
        <f t="shared" si="1"/>
        <v>Sub-Saharan Africa</v>
      </c>
      <c r="Y2" s="2" t="str">
        <f t="shared" si="1"/>
        <v>Latin America &amp; Caribbean</v>
      </c>
      <c r="Z2" s="2" t="str">
        <f>I2</f>
        <v>East Asia &amp; Pacific</v>
      </c>
      <c r="AA2" s="2" t="str">
        <f>J2</f>
        <v>North America</v>
      </c>
      <c r="AB2" s="1" t="s">
        <v>19</v>
      </c>
      <c r="AE2" s="2" t="s">
        <v>20</v>
      </c>
      <c r="AF2" s="2" t="s">
        <v>21</v>
      </c>
      <c r="AG2" s="2" t="s">
        <v>22</v>
      </c>
      <c r="AH2" s="2" t="s">
        <v>18</v>
      </c>
    </row>
    <row r="3" spans="2:34" x14ac:dyDescent="0.35">
      <c r="B3" s="1" t="s">
        <v>9</v>
      </c>
      <c r="C3" s="1">
        <v>14.326463902107992</v>
      </c>
      <c r="D3" s="1">
        <v>2.3638521561145853E-3</v>
      </c>
      <c r="E3" s="1">
        <v>6.0595552552830671E-5</v>
      </c>
      <c r="F3" s="1">
        <v>1.2169998655396851E-4</v>
      </c>
      <c r="G3" s="1">
        <v>2.1411865990822593E-3</v>
      </c>
      <c r="H3" s="1">
        <v>1.4259257582187825E-4</v>
      </c>
      <c r="I3" s="1">
        <v>6.6194622549218228E-4</v>
      </c>
      <c r="J3" s="1">
        <v>-1.6810021159424131E-5</v>
      </c>
      <c r="K3" s="1">
        <f t="shared" ref="K3:K9" si="2">SUM(D3:J3)</f>
        <v>5.4750630744582803E-3</v>
      </c>
      <c r="L3" s="1">
        <f t="shared" ref="L3:L9" si="3">K3*C3</f>
        <v>7.843829349799096E-2</v>
      </c>
      <c r="O3" s="1">
        <v>0</v>
      </c>
      <c r="P3" s="1">
        <v>0</v>
      </c>
      <c r="Q3" s="1">
        <v>0</v>
      </c>
      <c r="R3" s="1" t="s">
        <v>23</v>
      </c>
      <c r="S3" s="1" t="s">
        <v>24</v>
      </c>
      <c r="T3" s="1">
        <v>0</v>
      </c>
      <c r="U3" s="1">
        <f>D3</f>
        <v>2.3638521561145853E-3</v>
      </c>
      <c r="V3" s="1">
        <f>E3</f>
        <v>6.0595552552830671E-5</v>
      </c>
      <c r="W3" s="1">
        <f t="shared" si="1"/>
        <v>1.2169998655396851E-4</v>
      </c>
      <c r="X3" s="1">
        <f t="shared" si="1"/>
        <v>2.1411865990822593E-3</v>
      </c>
      <c r="Y3" s="1">
        <f t="shared" si="1"/>
        <v>1.4259257582187825E-4</v>
      </c>
      <c r="Z3" s="1">
        <f t="shared" si="1"/>
        <v>6.6194622549218228E-4</v>
      </c>
      <c r="AA3" s="1">
        <f t="shared" si="1"/>
        <v>-1.6810021159424131E-5</v>
      </c>
      <c r="AB3" s="1">
        <f>SUM(U3:AA3)</f>
        <v>5.4750630744582803E-3</v>
      </c>
      <c r="AC3" s="1">
        <f t="shared" ref="AC3:AC24" si="4">T3</f>
        <v>0</v>
      </c>
      <c r="AE3" s="1">
        <f>C3</f>
        <v>14.326463902107992</v>
      </c>
      <c r="AF3" s="1">
        <f>AVERAGE(0,AE3)</f>
        <v>7.1632319510539961</v>
      </c>
      <c r="AG3" s="1">
        <f t="shared" ref="AG3:AG9" si="5">K3</f>
        <v>5.4750630744582803E-3</v>
      </c>
      <c r="AH3" s="1" t="str">
        <f t="shared" ref="AH3:AH9" si="6">B3</f>
        <v>Sub-Saharan Africa</v>
      </c>
    </row>
    <row r="4" spans="2:34" x14ac:dyDescent="0.35">
      <c r="B4" s="1" t="s">
        <v>6</v>
      </c>
      <c r="C4" s="1">
        <v>24.809491576108929</v>
      </c>
      <c r="D4" s="1">
        <v>3.1741319804097206E-3</v>
      </c>
      <c r="E4" s="1">
        <v>8.1366459713233565E-5</v>
      </c>
      <c r="F4" s="1">
        <v>1.6341623495241101E-4</v>
      </c>
      <c r="G4" s="1">
        <v>2.8751412572869373E-3</v>
      </c>
      <c r="H4" s="5">
        <v>1.914703734387363E-4</v>
      </c>
      <c r="I4" s="1">
        <v>8.8884775564804447E-4</v>
      </c>
      <c r="J4" s="1">
        <v>-2.2572150130232505E-5</v>
      </c>
      <c r="K4" s="1">
        <f t="shared" si="2"/>
        <v>7.3518019113188509E-3</v>
      </c>
      <c r="L4" s="1">
        <f t="shared" si="3"/>
        <v>0.18239446758808656</v>
      </c>
      <c r="O4" s="1">
        <v>1</v>
      </c>
      <c r="P4" s="1">
        <f>O4</f>
        <v>1</v>
      </c>
      <c r="Q4" s="1">
        <f>MOD(O4,3)</f>
        <v>1</v>
      </c>
      <c r="R4" s="1" t="str">
        <f t="shared" ref="R4:R24" si="7">INDEX(dataSource,P4,R$1)</f>
        <v>Sub-Saharan Africa</v>
      </c>
      <c r="T4" s="1">
        <f>IF(P4=P3,T3,T3+VLOOKUP(R4,dataSource,T$1,FALSE))</f>
        <v>14.326463902107992</v>
      </c>
      <c r="U4" s="1">
        <f t="shared" ref="U4:U23" si="8">IF($Q4=1,U3,IF($Q4=2,0,VLOOKUP($R5,dataSource,U$1,FALSE)))</f>
        <v>2.3638521561145853E-3</v>
      </c>
      <c r="V4" s="1">
        <f t="shared" ref="V4:Z19" si="9">IF($Q4=1,V3,IF($Q4=2,0,VLOOKUP($R5,dataSource,V$1,FALSE)))</f>
        <v>6.0595552552830671E-5</v>
      </c>
      <c r="W4" s="1">
        <f t="shared" si="9"/>
        <v>1.2169998655396851E-4</v>
      </c>
      <c r="X4" s="1">
        <f t="shared" si="9"/>
        <v>2.1411865990822593E-3</v>
      </c>
      <c r="Y4" s="1">
        <f t="shared" si="9"/>
        <v>1.4259257582187825E-4</v>
      </c>
      <c r="Z4" s="1">
        <f t="shared" si="9"/>
        <v>6.6194622549218228E-4</v>
      </c>
      <c r="AA4" s="1">
        <f t="shared" ref="AA4" si="10">IF($Q4=1,AA3,IF($Q4=2,0,VLOOKUP($R5,dataSource,AA$1,FALSE)))</f>
        <v>-1.6810021159424131E-5</v>
      </c>
      <c r="AB4" s="1">
        <f t="shared" ref="AB4:AB24" si="11">SUM(U4:AA4)</f>
        <v>5.4750630744582803E-3</v>
      </c>
      <c r="AC4" s="1">
        <f t="shared" si="4"/>
        <v>14.326463902107992</v>
      </c>
      <c r="AE4" s="1">
        <f t="shared" ref="AE4:AE9" si="12">AE3+C4</f>
        <v>39.135955478216921</v>
      </c>
      <c r="AF4" s="1">
        <f>AVERAGE(AE4,AE3)</f>
        <v>26.731209690162459</v>
      </c>
      <c r="AG4" s="1">
        <f t="shared" si="5"/>
        <v>7.3518019113188509E-3</v>
      </c>
      <c r="AH4" s="1" t="str">
        <f t="shared" si="6"/>
        <v>South Asia</v>
      </c>
    </row>
    <row r="5" spans="2:34" x14ac:dyDescent="0.35">
      <c r="B5" s="1" t="s">
        <v>8</v>
      </c>
      <c r="C5" s="1">
        <v>5.3968454652070168</v>
      </c>
      <c r="D5" s="1">
        <v>7.5126334165585319E-3</v>
      </c>
      <c r="E5" s="1">
        <v>1.9258064503978119E-4</v>
      </c>
      <c r="F5" s="1">
        <v>3.8677858233015014E-4</v>
      </c>
      <c r="G5" s="1">
        <v>6.8049729564275459E-3</v>
      </c>
      <c r="H5" s="1">
        <v>4.5317798209232481E-4</v>
      </c>
      <c r="I5" s="1">
        <v>2.1037522675577602E-3</v>
      </c>
      <c r="J5" s="1">
        <v>-5.3424460734008815E-5</v>
      </c>
      <c r="K5" s="1">
        <f t="shared" si="2"/>
        <v>1.7400471389272084E-2</v>
      </c>
      <c r="L5" s="1">
        <f t="shared" si="3"/>
        <v>9.3907655109657484E-2</v>
      </c>
      <c r="O5" s="1">
        <v>2</v>
      </c>
      <c r="P5" s="1">
        <f>IF(Q5=1,P4+1,P4)</f>
        <v>1</v>
      </c>
      <c r="Q5" s="1">
        <f>MOD(O5,3)</f>
        <v>2</v>
      </c>
      <c r="R5" s="1" t="str">
        <f t="shared" si="7"/>
        <v>Sub-Saharan Africa</v>
      </c>
      <c r="T5" s="1">
        <f t="shared" ref="T5:T24" si="13">IF(P5=P4,T4,T4+VLOOKUP(R5,dataSource,T$1,FALSE))</f>
        <v>14.326463902107992</v>
      </c>
      <c r="U5" s="1">
        <f t="shared" si="8"/>
        <v>0</v>
      </c>
      <c r="V5" s="1">
        <f t="shared" si="9"/>
        <v>0</v>
      </c>
      <c r="W5" s="1">
        <f t="shared" si="9"/>
        <v>0</v>
      </c>
      <c r="X5" s="1">
        <f t="shared" si="9"/>
        <v>0</v>
      </c>
      <c r="Y5" s="1">
        <f t="shared" si="9"/>
        <v>0</v>
      </c>
      <c r="Z5" s="1">
        <f t="shared" si="9"/>
        <v>0</v>
      </c>
      <c r="AA5" s="1">
        <f t="shared" ref="AA5" si="14">IF($Q5=1,AA4,IF($Q5=2,0,VLOOKUP($R6,dataSource,AA$1,FALSE)))</f>
        <v>0</v>
      </c>
      <c r="AB5" s="1">
        <f t="shared" si="11"/>
        <v>0</v>
      </c>
      <c r="AC5" s="1">
        <f t="shared" si="4"/>
        <v>14.326463902107992</v>
      </c>
      <c r="AE5" s="1">
        <f t="shared" si="12"/>
        <v>44.532800943423936</v>
      </c>
      <c r="AF5" s="1">
        <f t="shared" ref="AF5:AF9" si="15">AVERAGE(AE5,AE4)</f>
        <v>41.834378210820432</v>
      </c>
      <c r="AG5" s="1">
        <f t="shared" si="5"/>
        <v>1.7400471389272084E-2</v>
      </c>
      <c r="AH5" s="1" t="str">
        <f t="shared" si="6"/>
        <v>Middle East &amp; North Africa</v>
      </c>
    </row>
    <row r="6" spans="2:34" x14ac:dyDescent="0.35">
      <c r="B6" s="1" t="s">
        <v>11</v>
      </c>
      <c r="C6" s="1">
        <v>30.510736538329812</v>
      </c>
      <c r="D6" s="1">
        <v>1.3907582386636046E-2</v>
      </c>
      <c r="E6" s="1">
        <v>3.5651029917937722E-4</v>
      </c>
      <c r="F6" s="1">
        <v>7.1601457183931066E-4</v>
      </c>
      <c r="G6" s="1">
        <v>1.2597542936375616E-2</v>
      </c>
      <c r="H6" s="1">
        <v>8.3893486774783274E-4</v>
      </c>
      <c r="I6" s="1">
        <v>3.8945209169456334E-3</v>
      </c>
      <c r="J6" s="1">
        <v>-9.8900751297431689E-5</v>
      </c>
      <c r="K6" s="1">
        <f t="shared" si="2"/>
        <v>3.2212205227426384E-2</v>
      </c>
      <c r="L6" s="1">
        <f t="shared" si="3"/>
        <v>0.98281810701261674</v>
      </c>
      <c r="O6" s="1">
        <v>3</v>
      </c>
      <c r="P6" s="1">
        <f>IF(Q6=1,P5+1,P5)</f>
        <v>1</v>
      </c>
      <c r="Q6" s="1">
        <f>MOD(O6,3)</f>
        <v>0</v>
      </c>
      <c r="R6" s="1" t="str">
        <f t="shared" si="7"/>
        <v>Sub-Saharan Africa</v>
      </c>
      <c r="T6" s="1">
        <f t="shared" si="13"/>
        <v>14.326463902107992</v>
      </c>
      <c r="U6" s="1">
        <f t="shared" si="8"/>
        <v>3.1741319804097206E-3</v>
      </c>
      <c r="V6" s="1">
        <f t="shared" si="9"/>
        <v>8.1366459713233565E-5</v>
      </c>
      <c r="W6" s="1">
        <f t="shared" si="9"/>
        <v>1.6341623495241101E-4</v>
      </c>
      <c r="X6" s="1">
        <f t="shared" si="9"/>
        <v>2.8751412572869373E-3</v>
      </c>
      <c r="Y6" s="1">
        <f t="shared" si="9"/>
        <v>1.914703734387363E-4</v>
      </c>
      <c r="Z6" s="1">
        <f t="shared" si="9"/>
        <v>8.8884775564804447E-4</v>
      </c>
      <c r="AA6" s="1">
        <f t="shared" ref="AA6" si="16">IF($Q6=1,AA5,IF($Q6=2,0,VLOOKUP($R7,dataSource,AA$1,FALSE)))</f>
        <v>-2.2572150130232505E-5</v>
      </c>
      <c r="AB6" s="1">
        <f t="shared" si="11"/>
        <v>7.3518019113188509E-3</v>
      </c>
      <c r="AC6" s="1">
        <f t="shared" si="4"/>
        <v>14.326463902107992</v>
      </c>
      <c r="AE6" s="1">
        <f t="shared" si="12"/>
        <v>75.043537481753745</v>
      </c>
      <c r="AF6" s="1">
        <f t="shared" si="15"/>
        <v>59.788169212588841</v>
      </c>
      <c r="AG6" s="1">
        <f t="shared" si="5"/>
        <v>3.2212205227426384E-2</v>
      </c>
      <c r="AH6" s="1" t="str">
        <f t="shared" si="6"/>
        <v>East Asia &amp; Pacific</v>
      </c>
    </row>
    <row r="7" spans="2:34" x14ac:dyDescent="0.35">
      <c r="B7" s="1" t="s">
        <v>10</v>
      </c>
      <c r="C7" s="1">
        <v>8.1051971621851209</v>
      </c>
      <c r="D7" s="1">
        <v>1.4413061811999981E-2</v>
      </c>
      <c r="E7" s="1">
        <v>3.6946787988288471E-4</v>
      </c>
      <c r="F7" s="1">
        <v>7.420385510086392E-4</v>
      </c>
      <c r="G7" s="1">
        <v>1.3055408191992978E-2</v>
      </c>
      <c r="H7" s="1">
        <v>8.6942645881505016E-4</v>
      </c>
      <c r="I7" s="1">
        <v>4.0360696160967628E-3</v>
      </c>
      <c r="J7" s="1">
        <v>-1.0249535843647877E-4</v>
      </c>
      <c r="K7" s="1">
        <f t="shared" si="2"/>
        <v>3.3382977151359822E-2</v>
      </c>
      <c r="L7" s="1">
        <f t="shared" si="3"/>
        <v>0.27057561167249233</v>
      </c>
      <c r="O7" s="1">
        <v>4</v>
      </c>
      <c r="P7" s="1">
        <f t="shared" ref="P7:P24" si="17">IF(Q7=1,P6+1,P6)</f>
        <v>2</v>
      </c>
      <c r="Q7" s="1">
        <f t="shared" ref="Q7:Q24" si="18">MOD(O7,3)</f>
        <v>1</v>
      </c>
      <c r="R7" s="1" t="str">
        <f t="shared" si="7"/>
        <v>South Asia</v>
      </c>
      <c r="T7" s="1">
        <f t="shared" si="13"/>
        <v>39.135955478216921</v>
      </c>
      <c r="U7" s="1">
        <f t="shared" si="8"/>
        <v>3.1741319804097206E-3</v>
      </c>
      <c r="V7" s="1">
        <f t="shared" si="9"/>
        <v>8.1366459713233565E-5</v>
      </c>
      <c r="W7" s="1">
        <f t="shared" si="9"/>
        <v>1.6341623495241101E-4</v>
      </c>
      <c r="X7" s="1">
        <f t="shared" si="9"/>
        <v>2.8751412572869373E-3</v>
      </c>
      <c r="Y7" s="1">
        <f t="shared" si="9"/>
        <v>1.914703734387363E-4</v>
      </c>
      <c r="Z7" s="1">
        <f t="shared" si="9"/>
        <v>8.8884775564804447E-4</v>
      </c>
      <c r="AA7" s="1">
        <f t="shared" ref="AA7" si="19">IF($Q7=1,AA6,IF($Q7=2,0,VLOOKUP($R8,dataSource,AA$1,FALSE)))</f>
        <v>-2.2572150130232505E-5</v>
      </c>
      <c r="AB7" s="1">
        <f t="shared" si="11"/>
        <v>7.3518019113188509E-3</v>
      </c>
      <c r="AC7" s="1">
        <f t="shared" si="4"/>
        <v>39.135955478216921</v>
      </c>
      <c r="AE7" s="1">
        <f t="shared" si="12"/>
        <v>83.148734643938866</v>
      </c>
      <c r="AF7" s="1">
        <f t="shared" si="15"/>
        <v>79.096136062846313</v>
      </c>
      <c r="AG7" s="1">
        <f t="shared" si="5"/>
        <v>3.3382977151359822E-2</v>
      </c>
      <c r="AH7" s="1" t="str">
        <f t="shared" si="6"/>
        <v>Latin America &amp; Caribbean</v>
      </c>
    </row>
    <row r="8" spans="2:34" x14ac:dyDescent="0.35">
      <c r="B8" s="1" t="s">
        <v>7</v>
      </c>
      <c r="C8" s="1">
        <v>12.003322561726106</v>
      </c>
      <c r="D8" s="1">
        <v>1.6525676883147742E-2</v>
      </c>
      <c r="E8" s="1">
        <v>4.2362316080284384E-4</v>
      </c>
      <c r="F8" s="1">
        <v>8.5080390889590777E-4</v>
      </c>
      <c r="G8" s="1">
        <v>1.4969023249372874E-2</v>
      </c>
      <c r="H8" s="1">
        <v>9.9686388079419253E-4</v>
      </c>
      <c r="I8" s="1">
        <v>4.6276622707586952E-3</v>
      </c>
      <c r="J8" s="1">
        <v>-1.175187616369921E-4</v>
      </c>
      <c r="K8" s="1">
        <f t="shared" si="2"/>
        <v>3.8276134592135268E-2</v>
      </c>
      <c r="L8" s="1">
        <f t="shared" si="3"/>
        <v>0.45944078992544235</v>
      </c>
      <c r="O8" s="1">
        <v>5</v>
      </c>
      <c r="P8" s="1">
        <f t="shared" si="17"/>
        <v>2</v>
      </c>
      <c r="Q8" s="1">
        <f t="shared" si="18"/>
        <v>2</v>
      </c>
      <c r="R8" s="1" t="str">
        <f t="shared" si="7"/>
        <v>South Asia</v>
      </c>
      <c r="T8" s="1">
        <f t="shared" si="13"/>
        <v>39.135955478216921</v>
      </c>
      <c r="U8" s="1">
        <f t="shared" si="8"/>
        <v>0</v>
      </c>
      <c r="V8" s="1">
        <f t="shared" si="9"/>
        <v>0</v>
      </c>
      <c r="W8" s="1">
        <f t="shared" si="9"/>
        <v>0</v>
      </c>
      <c r="X8" s="1">
        <f t="shared" si="9"/>
        <v>0</v>
      </c>
      <c r="Y8" s="1">
        <f t="shared" si="9"/>
        <v>0</v>
      </c>
      <c r="Z8" s="1">
        <f t="shared" si="9"/>
        <v>0</v>
      </c>
      <c r="AA8" s="1">
        <f t="shared" ref="AA8" si="20">IF($Q8=1,AA7,IF($Q8=2,0,VLOOKUP($R9,dataSource,AA$1,FALSE)))</f>
        <v>0</v>
      </c>
      <c r="AB8" s="1">
        <f t="shared" si="11"/>
        <v>0</v>
      </c>
      <c r="AC8" s="1">
        <f t="shared" si="4"/>
        <v>39.135955478216921</v>
      </c>
      <c r="AE8" s="1">
        <f t="shared" si="12"/>
        <v>95.152057205664974</v>
      </c>
      <c r="AF8" s="1">
        <f t="shared" si="15"/>
        <v>89.150395924801927</v>
      </c>
      <c r="AG8" s="1">
        <f t="shared" si="5"/>
        <v>3.8276134592135268E-2</v>
      </c>
      <c r="AH8" s="1" t="str">
        <f t="shared" si="6"/>
        <v>Europe &amp; Central Asia</v>
      </c>
    </row>
    <row r="9" spans="2:34" x14ac:dyDescent="0.35">
      <c r="B9" s="1" t="s">
        <v>12</v>
      </c>
      <c r="C9" s="1">
        <v>4.8479427943350322</v>
      </c>
      <c r="D9" s="1">
        <v>3.9865608156262236E-2</v>
      </c>
      <c r="E9" s="1">
        <v>1.0219245513450148E-3</v>
      </c>
      <c r="F9" s="1">
        <v>2.0524312250379644E-3</v>
      </c>
      <c r="G9" s="1">
        <v>3.6110424980535627E-2</v>
      </c>
      <c r="H9" s="1">
        <v>2.4047780395245492E-3</v>
      </c>
      <c r="I9" s="1">
        <v>1.116351070337792E-2</v>
      </c>
      <c r="J9" s="1">
        <v>-2.8349561325424744E-4</v>
      </c>
      <c r="K9" s="1">
        <f t="shared" si="2"/>
        <v>9.2335182042829061E-2</v>
      </c>
      <c r="L9" s="1">
        <f t="shared" si="3"/>
        <v>0.44763568044814661</v>
      </c>
      <c r="O9" s="1">
        <v>6</v>
      </c>
      <c r="P9" s="1">
        <f t="shared" si="17"/>
        <v>2</v>
      </c>
      <c r="Q9" s="1">
        <f t="shared" si="18"/>
        <v>0</v>
      </c>
      <c r="R9" s="1" t="str">
        <f t="shared" si="7"/>
        <v>South Asia</v>
      </c>
      <c r="T9" s="1">
        <f t="shared" si="13"/>
        <v>39.135955478216921</v>
      </c>
      <c r="U9" s="1">
        <f t="shared" si="8"/>
        <v>7.5126334165585319E-3</v>
      </c>
      <c r="V9" s="1">
        <f t="shared" si="9"/>
        <v>1.9258064503978119E-4</v>
      </c>
      <c r="W9" s="1">
        <f t="shared" si="9"/>
        <v>3.8677858233015014E-4</v>
      </c>
      <c r="X9" s="1">
        <f t="shared" si="9"/>
        <v>6.8049729564275459E-3</v>
      </c>
      <c r="Y9" s="1">
        <f t="shared" si="9"/>
        <v>4.5317798209232481E-4</v>
      </c>
      <c r="Z9" s="1">
        <f t="shared" si="9"/>
        <v>2.1037522675577602E-3</v>
      </c>
      <c r="AA9" s="1">
        <f t="shared" ref="AA9" si="21">IF($Q9=1,AA8,IF($Q9=2,0,VLOOKUP($R10,dataSource,AA$1,FALSE)))</f>
        <v>-5.3424460734008815E-5</v>
      </c>
      <c r="AB9" s="1">
        <f t="shared" si="11"/>
        <v>1.7400471389272084E-2</v>
      </c>
      <c r="AC9" s="1">
        <f t="shared" si="4"/>
        <v>39.135955478216921</v>
      </c>
      <c r="AE9" s="1">
        <f t="shared" si="12"/>
        <v>100</v>
      </c>
      <c r="AF9" s="1">
        <f t="shared" si="15"/>
        <v>97.57602860283248</v>
      </c>
      <c r="AG9" s="1">
        <f t="shared" si="5"/>
        <v>9.2335182042829061E-2</v>
      </c>
      <c r="AH9" s="1" t="str">
        <f t="shared" si="6"/>
        <v>North America</v>
      </c>
    </row>
    <row r="10" spans="2:34" x14ac:dyDescent="0.35">
      <c r="O10" s="1">
        <v>7</v>
      </c>
      <c r="P10" s="1">
        <f t="shared" si="17"/>
        <v>3</v>
      </c>
      <c r="Q10" s="1">
        <f t="shared" si="18"/>
        <v>1</v>
      </c>
      <c r="R10" s="1" t="str">
        <f t="shared" si="7"/>
        <v>Middle East &amp; North Africa</v>
      </c>
      <c r="T10" s="1">
        <f t="shared" si="13"/>
        <v>44.532800943423936</v>
      </c>
      <c r="U10" s="1">
        <f t="shared" si="8"/>
        <v>7.5126334165585319E-3</v>
      </c>
      <c r="V10" s="1">
        <f t="shared" si="9"/>
        <v>1.9258064503978119E-4</v>
      </c>
      <c r="W10" s="1">
        <f t="shared" si="9"/>
        <v>3.8677858233015014E-4</v>
      </c>
      <c r="X10" s="1">
        <f t="shared" si="9"/>
        <v>6.8049729564275459E-3</v>
      </c>
      <c r="Y10" s="1">
        <f t="shared" si="9"/>
        <v>4.5317798209232481E-4</v>
      </c>
      <c r="Z10" s="1">
        <f t="shared" si="9"/>
        <v>2.1037522675577602E-3</v>
      </c>
      <c r="AA10" s="1">
        <f t="shared" ref="AA10" si="22">IF($Q10=1,AA9,IF($Q10=2,0,VLOOKUP($R11,dataSource,AA$1,FALSE)))</f>
        <v>-5.3424460734008815E-5</v>
      </c>
      <c r="AB10" s="1">
        <f t="shared" si="11"/>
        <v>1.7400471389272084E-2</v>
      </c>
      <c r="AC10" s="1">
        <f t="shared" si="4"/>
        <v>44.532800943423936</v>
      </c>
    </row>
    <row r="11" spans="2:34" x14ac:dyDescent="0.35">
      <c r="D11" s="1">
        <v>2.8815919776254031E-3</v>
      </c>
      <c r="E11" s="1">
        <v>1.5267548669869191E-4</v>
      </c>
      <c r="F11" s="1">
        <v>6.8199405316037563E-4</v>
      </c>
      <c r="G11" s="1">
        <v>4.5200740198035648E-3</v>
      </c>
      <c r="H11" s="1">
        <v>5.3206338188892136E-4</v>
      </c>
      <c r="I11" s="1">
        <v>6.5614535444610724E-4</v>
      </c>
      <c r="J11" s="1">
        <v>-1.0486747558090415E-4</v>
      </c>
      <c r="O11" s="1">
        <v>8</v>
      </c>
      <c r="P11" s="1">
        <f t="shared" si="17"/>
        <v>3</v>
      </c>
      <c r="Q11" s="1">
        <f t="shared" si="18"/>
        <v>2</v>
      </c>
      <c r="R11" s="1" t="str">
        <f t="shared" si="7"/>
        <v>Middle East &amp; North Africa</v>
      </c>
      <c r="T11" s="1">
        <f t="shared" si="13"/>
        <v>44.532800943423936</v>
      </c>
      <c r="U11" s="1">
        <f t="shared" si="8"/>
        <v>0</v>
      </c>
      <c r="V11" s="1">
        <f t="shared" si="9"/>
        <v>0</v>
      </c>
      <c r="W11" s="1">
        <f t="shared" si="9"/>
        <v>0</v>
      </c>
      <c r="X11" s="1">
        <f t="shared" si="9"/>
        <v>0</v>
      </c>
      <c r="Y11" s="1">
        <f t="shared" si="9"/>
        <v>0</v>
      </c>
      <c r="Z11" s="1">
        <f t="shared" si="9"/>
        <v>0</v>
      </c>
      <c r="AA11" s="1">
        <f t="shared" ref="AA11" si="23">IF($Q11=1,AA10,IF($Q11=2,0,VLOOKUP($R12,dataSource,AA$1,FALSE)))</f>
        <v>0</v>
      </c>
      <c r="AB11" s="1">
        <f t="shared" si="11"/>
        <v>0</v>
      </c>
      <c r="AC11" s="1">
        <f t="shared" si="4"/>
        <v>44.532800943423936</v>
      </c>
    </row>
    <row r="12" spans="2:34" x14ac:dyDescent="0.35">
      <c r="O12" s="1">
        <v>9</v>
      </c>
      <c r="P12" s="1">
        <f t="shared" si="17"/>
        <v>3</v>
      </c>
      <c r="Q12" s="1">
        <f t="shared" si="18"/>
        <v>0</v>
      </c>
      <c r="R12" s="1" t="str">
        <f t="shared" si="7"/>
        <v>Middle East &amp; North Africa</v>
      </c>
      <c r="T12" s="1">
        <f t="shared" si="13"/>
        <v>44.532800943423936</v>
      </c>
      <c r="U12" s="1">
        <f t="shared" si="8"/>
        <v>1.3907582386636046E-2</v>
      </c>
      <c r="V12" s="1">
        <f t="shared" si="9"/>
        <v>3.5651029917937722E-4</v>
      </c>
      <c r="W12" s="1">
        <f t="shared" si="9"/>
        <v>7.1601457183931066E-4</v>
      </c>
      <c r="X12" s="1">
        <f t="shared" si="9"/>
        <v>1.2597542936375616E-2</v>
      </c>
      <c r="Y12" s="1">
        <f t="shared" si="9"/>
        <v>8.3893486774783274E-4</v>
      </c>
      <c r="Z12" s="1">
        <f t="shared" si="9"/>
        <v>3.8945209169456334E-3</v>
      </c>
      <c r="AA12" s="1">
        <f t="shared" ref="AA12" si="24">IF($Q12=1,AA11,IF($Q12=2,0,VLOOKUP($R13,dataSource,AA$1,FALSE)))</f>
        <v>-9.8900751297431689E-5</v>
      </c>
      <c r="AB12" s="1">
        <f t="shared" si="11"/>
        <v>3.2212205227426384E-2</v>
      </c>
      <c r="AC12" s="1">
        <f t="shared" si="4"/>
        <v>44.532800943423936</v>
      </c>
    </row>
    <row r="13" spans="2:34" x14ac:dyDescent="0.35">
      <c r="C13" s="1" t="s">
        <v>25</v>
      </c>
      <c r="O13" s="1">
        <v>10</v>
      </c>
      <c r="P13" s="1">
        <f t="shared" si="17"/>
        <v>4</v>
      </c>
      <c r="Q13" s="1">
        <f t="shared" si="18"/>
        <v>1</v>
      </c>
      <c r="R13" s="1" t="str">
        <f t="shared" si="7"/>
        <v>East Asia &amp; Pacific</v>
      </c>
      <c r="T13" s="1">
        <f t="shared" si="13"/>
        <v>75.043537481753745</v>
      </c>
      <c r="U13" s="1">
        <f t="shared" si="8"/>
        <v>1.3907582386636046E-2</v>
      </c>
      <c r="V13" s="1">
        <f t="shared" si="9"/>
        <v>3.5651029917937722E-4</v>
      </c>
      <c r="W13" s="1">
        <f t="shared" si="9"/>
        <v>7.1601457183931066E-4</v>
      </c>
      <c r="X13" s="1">
        <f t="shared" si="9"/>
        <v>1.2597542936375616E-2</v>
      </c>
      <c r="Y13" s="1">
        <f t="shared" si="9"/>
        <v>8.3893486774783274E-4</v>
      </c>
      <c r="Z13" s="1">
        <f t="shared" si="9"/>
        <v>3.8945209169456334E-3</v>
      </c>
      <c r="AA13" s="1">
        <f t="shared" ref="AA13" si="25">IF($Q13=1,AA12,IF($Q13=2,0,VLOOKUP($R14,dataSource,AA$1,FALSE)))</f>
        <v>-9.8900751297431689E-5</v>
      </c>
      <c r="AB13" s="1">
        <f t="shared" si="11"/>
        <v>3.2212205227426384E-2</v>
      </c>
      <c r="AC13" s="1">
        <f t="shared" si="4"/>
        <v>75.043537481753745</v>
      </c>
    </row>
    <row r="14" spans="2:34" x14ac:dyDescent="0.35">
      <c r="O14" s="1">
        <v>11</v>
      </c>
      <c r="P14" s="1">
        <f t="shared" si="17"/>
        <v>4</v>
      </c>
      <c r="Q14" s="1">
        <f t="shared" si="18"/>
        <v>2</v>
      </c>
      <c r="R14" s="1" t="str">
        <f t="shared" si="7"/>
        <v>East Asia &amp; Pacific</v>
      </c>
      <c r="T14" s="1">
        <f t="shared" si="13"/>
        <v>75.043537481753745</v>
      </c>
      <c r="U14" s="1">
        <f t="shared" si="8"/>
        <v>0</v>
      </c>
      <c r="V14" s="1">
        <f t="shared" si="9"/>
        <v>0</v>
      </c>
      <c r="W14" s="1">
        <f t="shared" si="9"/>
        <v>0</v>
      </c>
      <c r="X14" s="1">
        <f t="shared" si="9"/>
        <v>0</v>
      </c>
      <c r="Y14" s="1">
        <f t="shared" si="9"/>
        <v>0</v>
      </c>
      <c r="Z14" s="1">
        <f t="shared" si="9"/>
        <v>0</v>
      </c>
      <c r="AA14" s="1">
        <f t="shared" ref="AA14" si="26">IF($Q14=1,AA13,IF($Q14=2,0,VLOOKUP($R15,dataSource,AA$1,FALSE)))</f>
        <v>0</v>
      </c>
      <c r="AB14" s="1">
        <f t="shared" si="11"/>
        <v>0</v>
      </c>
      <c r="AC14" s="1">
        <f t="shared" si="4"/>
        <v>75.043537481753745</v>
      </c>
    </row>
    <row r="15" spans="2:34" x14ac:dyDescent="0.35">
      <c r="C15" s="1">
        <f>_xlfn.XLOOKUP(B6,B3:B9,F3:F9)</f>
        <v>7.1601457183931066E-4</v>
      </c>
      <c r="O15" s="1">
        <v>12</v>
      </c>
      <c r="P15" s="1">
        <f t="shared" si="17"/>
        <v>4</v>
      </c>
      <c r="Q15" s="1">
        <f t="shared" si="18"/>
        <v>0</v>
      </c>
      <c r="R15" s="1" t="str">
        <f t="shared" si="7"/>
        <v>East Asia &amp; Pacific</v>
      </c>
      <c r="T15" s="1">
        <f t="shared" si="13"/>
        <v>75.043537481753745</v>
      </c>
      <c r="U15" s="1">
        <f t="shared" si="8"/>
        <v>1.4413061811999981E-2</v>
      </c>
      <c r="V15" s="1">
        <f t="shared" si="9"/>
        <v>3.6946787988288471E-4</v>
      </c>
      <c r="W15" s="1">
        <f t="shared" si="9"/>
        <v>7.420385510086392E-4</v>
      </c>
      <c r="X15" s="1">
        <f t="shared" si="9"/>
        <v>1.3055408191992978E-2</v>
      </c>
      <c r="Y15" s="1">
        <f t="shared" si="9"/>
        <v>8.6942645881505016E-4</v>
      </c>
      <c r="Z15" s="1">
        <f t="shared" si="9"/>
        <v>4.0360696160967628E-3</v>
      </c>
      <c r="AA15" s="1">
        <f t="shared" ref="AA15" si="27">IF($Q15=1,AA14,IF($Q15=2,0,VLOOKUP($R16,dataSource,AA$1,FALSE)))</f>
        <v>-1.0249535843647877E-4</v>
      </c>
      <c r="AB15" s="1">
        <f t="shared" si="11"/>
        <v>3.3382977151359822E-2</v>
      </c>
      <c r="AC15" s="1">
        <f t="shared" si="4"/>
        <v>75.043537481753745</v>
      </c>
    </row>
    <row r="16" spans="2:34" x14ac:dyDescent="0.35">
      <c r="O16" s="1">
        <v>13</v>
      </c>
      <c r="P16" s="1">
        <f t="shared" si="17"/>
        <v>5</v>
      </c>
      <c r="Q16" s="1">
        <f t="shared" si="18"/>
        <v>1</v>
      </c>
      <c r="R16" s="1" t="str">
        <f t="shared" si="7"/>
        <v>Latin America &amp; Caribbean</v>
      </c>
      <c r="T16" s="1">
        <f t="shared" si="13"/>
        <v>83.148734643938866</v>
      </c>
      <c r="U16" s="1">
        <f t="shared" si="8"/>
        <v>1.4413061811999981E-2</v>
      </c>
      <c r="V16" s="1">
        <f t="shared" si="9"/>
        <v>3.6946787988288471E-4</v>
      </c>
      <c r="W16" s="1">
        <f t="shared" si="9"/>
        <v>7.420385510086392E-4</v>
      </c>
      <c r="X16" s="1">
        <f t="shared" si="9"/>
        <v>1.3055408191992978E-2</v>
      </c>
      <c r="Y16" s="1">
        <f t="shared" si="9"/>
        <v>8.6942645881505016E-4</v>
      </c>
      <c r="Z16" s="1">
        <f t="shared" si="9"/>
        <v>4.0360696160967628E-3</v>
      </c>
      <c r="AA16" s="1">
        <f t="shared" ref="AA16" si="28">IF($Q16=1,AA15,IF($Q16=2,0,VLOOKUP($R17,dataSource,AA$1,FALSE)))</f>
        <v>-1.0249535843647877E-4</v>
      </c>
      <c r="AB16" s="1">
        <f t="shared" si="11"/>
        <v>3.3382977151359822E-2</v>
      </c>
      <c r="AC16" s="1">
        <f t="shared" si="4"/>
        <v>83.148734643938866</v>
      </c>
    </row>
    <row r="17" spans="3:29" x14ac:dyDescent="0.35">
      <c r="O17" s="1">
        <v>14</v>
      </c>
      <c r="P17" s="1">
        <f t="shared" si="17"/>
        <v>5</v>
      </c>
      <c r="Q17" s="1">
        <f t="shared" si="18"/>
        <v>2</v>
      </c>
      <c r="R17" s="1" t="str">
        <f t="shared" si="7"/>
        <v>Latin America &amp; Caribbean</v>
      </c>
      <c r="T17" s="1">
        <f t="shared" si="13"/>
        <v>83.148734643938866</v>
      </c>
      <c r="U17" s="1">
        <f t="shared" si="8"/>
        <v>0</v>
      </c>
      <c r="V17" s="1">
        <f t="shared" si="9"/>
        <v>0</v>
      </c>
      <c r="W17" s="1">
        <f t="shared" si="9"/>
        <v>0</v>
      </c>
      <c r="X17" s="1">
        <f t="shared" si="9"/>
        <v>0</v>
      </c>
      <c r="Y17" s="1">
        <f t="shared" si="9"/>
        <v>0</v>
      </c>
      <c r="Z17" s="1">
        <f t="shared" si="9"/>
        <v>0</v>
      </c>
      <c r="AA17" s="1">
        <f t="shared" ref="AA17" si="29">IF($Q17=1,AA16,IF($Q17=2,0,VLOOKUP($R18,dataSource,AA$1,FALSE)))</f>
        <v>0</v>
      </c>
      <c r="AB17" s="1">
        <f t="shared" si="11"/>
        <v>0</v>
      </c>
      <c r="AC17" s="1">
        <f t="shared" si="4"/>
        <v>83.148734643938866</v>
      </c>
    </row>
    <row r="18" spans="3:29" x14ac:dyDescent="0.35">
      <c r="C18" s="4"/>
      <c r="O18" s="1">
        <v>15</v>
      </c>
      <c r="P18" s="1">
        <f t="shared" si="17"/>
        <v>5</v>
      </c>
      <c r="Q18" s="1">
        <f t="shared" si="18"/>
        <v>0</v>
      </c>
      <c r="R18" s="1" t="str">
        <f t="shared" si="7"/>
        <v>Latin America &amp; Caribbean</v>
      </c>
      <c r="T18" s="1">
        <f t="shared" si="13"/>
        <v>83.148734643938866</v>
      </c>
      <c r="U18" s="1">
        <f t="shared" si="8"/>
        <v>1.6525676883147742E-2</v>
      </c>
      <c r="V18" s="1">
        <f t="shared" si="9"/>
        <v>4.2362316080284384E-4</v>
      </c>
      <c r="W18" s="1">
        <f t="shared" si="9"/>
        <v>8.5080390889590777E-4</v>
      </c>
      <c r="X18" s="1">
        <f t="shared" si="9"/>
        <v>1.4969023249372874E-2</v>
      </c>
      <c r="Y18" s="1">
        <f t="shared" si="9"/>
        <v>9.9686388079419253E-4</v>
      </c>
      <c r="Z18" s="1">
        <f t="shared" si="9"/>
        <v>4.6276622707586952E-3</v>
      </c>
      <c r="AA18" s="1">
        <f t="shared" ref="AA18" si="30">IF($Q18=1,AA17,IF($Q18=2,0,VLOOKUP($R19,dataSource,AA$1,FALSE)))</f>
        <v>-1.175187616369921E-4</v>
      </c>
      <c r="AB18" s="1">
        <f t="shared" si="11"/>
        <v>3.8276134592135268E-2</v>
      </c>
      <c r="AC18" s="1">
        <f t="shared" si="4"/>
        <v>83.148734643938866</v>
      </c>
    </row>
    <row r="19" spans="3:29" x14ac:dyDescent="0.35">
      <c r="C19" s="4"/>
      <c r="O19" s="1">
        <v>16</v>
      </c>
      <c r="P19" s="1">
        <f t="shared" si="17"/>
        <v>6</v>
      </c>
      <c r="Q19" s="1">
        <f t="shared" si="18"/>
        <v>1</v>
      </c>
      <c r="R19" s="1" t="str">
        <f t="shared" si="7"/>
        <v>Europe &amp; Central Asia</v>
      </c>
      <c r="T19" s="1">
        <f t="shared" si="13"/>
        <v>95.152057205664974</v>
      </c>
      <c r="U19" s="1">
        <f t="shared" si="8"/>
        <v>1.6525676883147742E-2</v>
      </c>
      <c r="V19" s="1">
        <f t="shared" si="9"/>
        <v>4.2362316080284384E-4</v>
      </c>
      <c r="W19" s="1">
        <f t="shared" si="9"/>
        <v>8.5080390889590777E-4</v>
      </c>
      <c r="X19" s="1">
        <f t="shared" si="9"/>
        <v>1.4969023249372874E-2</v>
      </c>
      <c r="Y19" s="1">
        <f t="shared" si="9"/>
        <v>9.9686388079419253E-4</v>
      </c>
      <c r="Z19" s="1">
        <f t="shared" si="9"/>
        <v>4.6276622707586952E-3</v>
      </c>
      <c r="AA19" s="1">
        <f t="shared" ref="AA19" si="31">IF($Q19=1,AA18,IF($Q19=2,0,VLOOKUP($R20,dataSource,AA$1,FALSE)))</f>
        <v>-1.175187616369921E-4</v>
      </c>
      <c r="AB19" s="1">
        <f t="shared" si="11"/>
        <v>3.8276134592135268E-2</v>
      </c>
      <c r="AC19" s="1">
        <f t="shared" si="4"/>
        <v>95.152057205664974</v>
      </c>
    </row>
    <row r="20" spans="3:29" x14ac:dyDescent="0.35">
      <c r="O20" s="1">
        <v>17</v>
      </c>
      <c r="P20" s="1">
        <f t="shared" si="17"/>
        <v>6</v>
      </c>
      <c r="Q20" s="1">
        <f t="shared" si="18"/>
        <v>2</v>
      </c>
      <c r="R20" s="1" t="str">
        <f t="shared" si="7"/>
        <v>Europe &amp; Central Asia</v>
      </c>
      <c r="T20" s="1">
        <f t="shared" si="13"/>
        <v>95.152057205664974</v>
      </c>
      <c r="U20" s="1">
        <f t="shared" si="8"/>
        <v>0</v>
      </c>
      <c r="V20" s="1">
        <f t="shared" ref="V20:Z24" si="32">IF($Q20=1,V19,IF($Q20=2,0,VLOOKUP($R21,dataSource,V$1,FALSE)))</f>
        <v>0</v>
      </c>
      <c r="W20" s="1">
        <f t="shared" si="32"/>
        <v>0</v>
      </c>
      <c r="X20" s="1">
        <f t="shared" si="32"/>
        <v>0</v>
      </c>
      <c r="Y20" s="1">
        <f t="shared" si="32"/>
        <v>0</v>
      </c>
      <c r="Z20" s="1">
        <f t="shared" si="32"/>
        <v>0</v>
      </c>
      <c r="AA20" s="1">
        <f t="shared" ref="AA20" si="33">IF($Q20=1,AA19,IF($Q20=2,0,VLOOKUP($R21,dataSource,AA$1,FALSE)))</f>
        <v>0</v>
      </c>
      <c r="AB20" s="1">
        <f t="shared" si="11"/>
        <v>0</v>
      </c>
      <c r="AC20" s="1">
        <f t="shared" si="4"/>
        <v>95.152057205664974</v>
      </c>
    </row>
    <row r="21" spans="3:29" x14ac:dyDescent="0.35">
      <c r="O21" s="1">
        <v>18</v>
      </c>
      <c r="P21" s="1">
        <f t="shared" si="17"/>
        <v>6</v>
      </c>
      <c r="Q21" s="1">
        <f t="shared" si="18"/>
        <v>0</v>
      </c>
      <c r="R21" s="1" t="str">
        <f t="shared" si="7"/>
        <v>Europe &amp; Central Asia</v>
      </c>
      <c r="T21" s="1">
        <f t="shared" si="13"/>
        <v>95.152057205664974</v>
      </c>
      <c r="U21" s="1">
        <f>IF($Q21=1,U20,IF($Q21=2,0,VLOOKUP($R22,dataSource,U$1,FALSE)))</f>
        <v>3.9865608156262236E-2</v>
      </c>
      <c r="V21" s="1">
        <f t="shared" si="32"/>
        <v>1.0219245513450148E-3</v>
      </c>
      <c r="W21" s="1">
        <f t="shared" si="32"/>
        <v>2.0524312250379644E-3</v>
      </c>
      <c r="X21" s="1">
        <f t="shared" si="32"/>
        <v>3.6110424980535627E-2</v>
      </c>
      <c r="Y21" s="1">
        <f t="shared" si="32"/>
        <v>2.4047780395245492E-3</v>
      </c>
      <c r="Z21" s="1">
        <f t="shared" si="32"/>
        <v>1.116351070337792E-2</v>
      </c>
      <c r="AA21" s="1">
        <f t="shared" ref="AA21" si="34">IF($Q21=1,AA20,IF($Q21=2,0,VLOOKUP($R22,dataSource,AA$1,FALSE)))</f>
        <v>-2.8349561325424744E-4</v>
      </c>
      <c r="AB21" s="1">
        <f t="shared" si="11"/>
        <v>9.2335182042829061E-2</v>
      </c>
      <c r="AC21" s="1">
        <f t="shared" si="4"/>
        <v>95.152057205664974</v>
      </c>
    </row>
    <row r="22" spans="3:29" x14ac:dyDescent="0.35">
      <c r="O22" s="1">
        <v>19</v>
      </c>
      <c r="P22" s="1">
        <f t="shared" si="17"/>
        <v>7</v>
      </c>
      <c r="Q22" s="1">
        <f t="shared" si="18"/>
        <v>1</v>
      </c>
      <c r="R22" s="1" t="str">
        <f t="shared" si="7"/>
        <v>North America</v>
      </c>
      <c r="T22" s="1">
        <f t="shared" si="13"/>
        <v>100</v>
      </c>
      <c r="U22" s="1">
        <f t="shared" si="8"/>
        <v>3.9865608156262236E-2</v>
      </c>
      <c r="V22" s="1">
        <f t="shared" si="32"/>
        <v>1.0219245513450148E-3</v>
      </c>
      <c r="W22" s="1">
        <f t="shared" si="32"/>
        <v>2.0524312250379644E-3</v>
      </c>
      <c r="X22" s="1">
        <f t="shared" si="32"/>
        <v>3.6110424980535627E-2</v>
      </c>
      <c r="Y22" s="1">
        <f t="shared" si="32"/>
        <v>2.4047780395245492E-3</v>
      </c>
      <c r="Z22" s="1">
        <f t="shared" si="32"/>
        <v>1.116351070337792E-2</v>
      </c>
      <c r="AA22" s="1">
        <f t="shared" ref="AA22" si="35">IF($Q22=1,AA21,IF($Q22=2,0,VLOOKUP($R23,dataSource,AA$1,FALSE)))</f>
        <v>-2.8349561325424744E-4</v>
      </c>
      <c r="AB22" s="1">
        <f t="shared" si="11"/>
        <v>9.2335182042829061E-2</v>
      </c>
      <c r="AC22" s="1">
        <f t="shared" si="4"/>
        <v>100</v>
      </c>
    </row>
    <row r="23" spans="3:29" x14ac:dyDescent="0.35">
      <c r="O23" s="1">
        <v>20</v>
      </c>
      <c r="P23" s="1">
        <f t="shared" si="17"/>
        <v>7</v>
      </c>
      <c r="Q23" s="1">
        <f t="shared" si="18"/>
        <v>2</v>
      </c>
      <c r="R23" s="1" t="str">
        <f t="shared" si="7"/>
        <v>North America</v>
      </c>
      <c r="T23" s="1">
        <f t="shared" si="13"/>
        <v>100</v>
      </c>
      <c r="U23" s="1">
        <f t="shared" si="8"/>
        <v>0</v>
      </c>
      <c r="V23" s="1">
        <f t="shared" si="32"/>
        <v>0</v>
      </c>
      <c r="W23" s="1">
        <f t="shared" si="32"/>
        <v>0</v>
      </c>
      <c r="X23" s="1">
        <f t="shared" si="32"/>
        <v>0</v>
      </c>
      <c r="Y23" s="1">
        <f t="shared" si="32"/>
        <v>0</v>
      </c>
      <c r="Z23" s="1">
        <f t="shared" si="32"/>
        <v>0</v>
      </c>
      <c r="AA23" s="1">
        <f t="shared" ref="AA23" si="36">IF($Q23=1,AA22,IF($Q23=2,0,VLOOKUP($R24,dataSource,AA$1,FALSE)))</f>
        <v>0</v>
      </c>
      <c r="AB23" s="1">
        <f t="shared" si="11"/>
        <v>0</v>
      </c>
      <c r="AC23" s="1">
        <f t="shared" si="4"/>
        <v>100</v>
      </c>
    </row>
    <row r="24" spans="3:29" x14ac:dyDescent="0.35">
      <c r="O24" s="1">
        <v>21</v>
      </c>
      <c r="P24" s="1">
        <f t="shared" si="17"/>
        <v>7</v>
      </c>
      <c r="Q24" s="1">
        <f t="shared" si="18"/>
        <v>0</v>
      </c>
      <c r="R24" s="1" t="str">
        <f t="shared" si="7"/>
        <v>North America</v>
      </c>
      <c r="T24" s="1">
        <f t="shared" si="13"/>
        <v>100</v>
      </c>
      <c r="U24" s="1">
        <f>IF($Q24=1,U23,IF($Q24=2,0,VLOOKUP($R25,dataSource,U$1,FALSE)))</f>
        <v>3.9865608156262236E-2</v>
      </c>
      <c r="V24" s="1">
        <f t="shared" si="32"/>
        <v>1.0219245513450148E-3</v>
      </c>
      <c r="W24" s="1">
        <f t="shared" si="32"/>
        <v>2.0524312250379644E-3</v>
      </c>
      <c r="X24" s="1">
        <f t="shared" si="32"/>
        <v>3.6110424980535627E-2</v>
      </c>
      <c r="Y24" s="1">
        <f t="shared" si="32"/>
        <v>2.4047780395245492E-3</v>
      </c>
      <c r="Z24" s="1">
        <f t="shared" si="32"/>
        <v>1.116351070337792E-2</v>
      </c>
      <c r="AA24" s="1">
        <f t="shared" ref="AA24" si="37">IF($Q24=1,AA23,IF($Q24=2,0,VLOOKUP($R25,dataSource,AA$1,FALSE)))</f>
        <v>-2.8349561325424744E-4</v>
      </c>
      <c r="AB24" s="1">
        <f t="shared" si="11"/>
        <v>9.2335182042829061E-2</v>
      </c>
      <c r="AC24" s="1">
        <f t="shared" si="4"/>
        <v>100</v>
      </c>
    </row>
    <row r="25" spans="3:29" x14ac:dyDescent="0.35">
      <c r="R25" s="1" t="s">
        <v>12</v>
      </c>
    </row>
  </sheetData>
  <autoFilter ref="B2:L52" xr:uid="{00000000-0009-0000-0000-000002000000}">
    <sortState xmlns:xlrd2="http://schemas.microsoft.com/office/spreadsheetml/2017/richdata2" ref="B3:L52">
      <sortCondition descending="1" ref="K2:K52"/>
    </sortState>
  </autoFilter>
  <conditionalFormatting sqref="P2 P4:AA153">
    <cfRule type="expression" dxfId="1" priority="2">
      <formula>MOD($P2,2)=1</formula>
    </cfRule>
  </conditionalFormatting>
  <conditionalFormatting sqref="Q3:R3 T3:AA3">
    <cfRule type="expression" dxfId="0" priority="1">
      <formula>MOD($P2,2)=1</formula>
    </cfRule>
  </conditionalFormatting>
  <pageMargins left="0.7" right="0.7" top="0.75" bottom="0.75" header="0.3" footer="0.3"/>
  <pageSetup orientation="portrait" verticalDpi="0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Inducer_perspective</vt:lpstr>
      <vt:lpstr>Inducer_perspective!dataSource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 Rupcic</dc:creator>
  <cp:lastModifiedBy>lea rupcic</cp:lastModifiedBy>
  <dcterms:created xsi:type="dcterms:W3CDTF">2024-11-20T14:22:45Z</dcterms:created>
  <dcterms:modified xsi:type="dcterms:W3CDTF">2025-07-18T12:31:08Z</dcterms:modified>
</cp:coreProperties>
</file>