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\OneDrive\Desktop\New folder\"/>
    </mc:Choice>
  </mc:AlternateContent>
  <xr:revisionPtr revIDLastSave="0" documentId="13_ncr:1_{1E87772F-F9D0-4264-BAA5-8B8A615FEFFC}" xr6:coauthVersionLast="47" xr6:coauthVersionMax="47" xr10:uidLastSave="{00000000-0000-0000-0000-000000000000}"/>
  <bookViews>
    <workbookView xWindow="-110" yWindow="-110" windowWidth="19420" windowHeight="11500" xr2:uid="{82343B54-D125-477F-99B6-C4D81DC0E13C}"/>
  </bookViews>
  <sheets>
    <sheet name="Area graph receptor" sheetId="3" r:id="rId1"/>
  </sheets>
  <externalReferences>
    <externalReference r:id="rId2"/>
    <externalReference r:id="rId3"/>
  </externalReferences>
  <definedNames>
    <definedName name="_xlnm._FilterDatabase" localSheetId="0" hidden="1">'Area graph receptor'!$B$2:$L$52</definedName>
    <definedName name="cutoff">[1]varWidth_stacked_adjust!$L$6</definedName>
    <definedName name="data2">[1]varWidth_stacked_adjust!$B$6:$J$55</definedName>
    <definedName name="dataSource" localSheetId="0">'Area graph receptor'!$B$3:$L$9</definedName>
    <definedName name="dataSource">#REF!</definedName>
    <definedName name="multiplier">[1]varWidth_stacked_adjust!$F$2</definedName>
    <definedName name="other_text">[1]varWidth_stacked_adjust!$O$2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3" l="1"/>
  <c r="AA23" i="3"/>
  <c r="Z23" i="3"/>
  <c r="Y23" i="3"/>
  <c r="Q23" i="3"/>
  <c r="X23" i="3" s="1"/>
  <c r="Q22" i="3"/>
  <c r="Q21" i="3"/>
  <c r="Q20" i="3"/>
  <c r="Q19" i="3"/>
  <c r="Q18" i="3"/>
  <c r="Q17" i="3"/>
  <c r="Q16" i="3"/>
  <c r="Q15" i="3"/>
  <c r="Y14" i="3"/>
  <c r="X14" i="3"/>
  <c r="W14" i="3"/>
  <c r="V14" i="3"/>
  <c r="Q14" i="3"/>
  <c r="Q13" i="3"/>
  <c r="Q12" i="3"/>
  <c r="AA11" i="3"/>
  <c r="Z11" i="3"/>
  <c r="Y11" i="3"/>
  <c r="X11" i="3"/>
  <c r="W11" i="3"/>
  <c r="V11" i="3"/>
  <c r="U11" i="3"/>
  <c r="Q11" i="3"/>
  <c r="Q10" i="3"/>
  <c r="AH9" i="3"/>
  <c r="Q9" i="3"/>
  <c r="B9" i="3"/>
  <c r="AH8" i="3"/>
  <c r="AA8" i="3"/>
  <c r="Z8" i="3"/>
  <c r="Y8" i="3"/>
  <c r="Q8" i="3"/>
  <c r="X8" i="3" s="1"/>
  <c r="B8" i="3"/>
  <c r="Q7" i="3"/>
  <c r="B7" i="3"/>
  <c r="AH7" i="3" s="1"/>
  <c r="AH6" i="3"/>
  <c r="Q6" i="3"/>
  <c r="P6" i="3"/>
  <c r="P7" i="3" s="1"/>
  <c r="B6" i="3"/>
  <c r="AA5" i="3"/>
  <c r="Z5" i="3"/>
  <c r="Y5" i="3"/>
  <c r="X5" i="3"/>
  <c r="W5" i="3"/>
  <c r="V5" i="3"/>
  <c r="U5" i="3"/>
  <c r="Q5" i="3"/>
  <c r="B5" i="3"/>
  <c r="AH5" i="3" s="1"/>
  <c r="AH4" i="3"/>
  <c r="R4" i="3"/>
  <c r="Q4" i="3"/>
  <c r="P4" i="3"/>
  <c r="P5" i="3" s="1"/>
  <c r="B4" i="3"/>
  <c r="AC3" i="3"/>
  <c r="B3" i="3"/>
  <c r="AA2" i="3"/>
  <c r="Z2" i="3"/>
  <c r="Y2" i="3"/>
  <c r="X2" i="3"/>
  <c r="W2" i="3"/>
  <c r="V2" i="3"/>
  <c r="U2" i="3"/>
  <c r="AA1" i="3"/>
  <c r="Z1" i="3"/>
  <c r="Y1" i="3"/>
  <c r="X1" i="3"/>
  <c r="W1" i="3"/>
  <c r="V1" i="3"/>
  <c r="U1" i="3"/>
  <c r="T1" i="3"/>
  <c r="R1" i="3"/>
  <c r="AB11" i="3" l="1"/>
  <c r="AB5" i="3"/>
  <c r="R7" i="3"/>
  <c r="AA17" i="3"/>
  <c r="Z17" i="3"/>
  <c r="Y17" i="3"/>
  <c r="X17" i="3"/>
  <c r="W17" i="3"/>
  <c r="V17" i="3"/>
  <c r="AA20" i="3"/>
  <c r="Z20" i="3"/>
  <c r="Y20" i="3"/>
  <c r="X20" i="3"/>
  <c r="W20" i="3"/>
  <c r="V20" i="3"/>
  <c r="U20" i="3"/>
  <c r="R5" i="3"/>
  <c r="R6" i="3"/>
  <c r="U17" i="3"/>
  <c r="AH3" i="3"/>
  <c r="AA14" i="3"/>
  <c r="Z14" i="3"/>
  <c r="U14" i="3"/>
  <c r="P8" i="3"/>
  <c r="U8" i="3"/>
  <c r="U23" i="3"/>
  <c r="V8" i="3"/>
  <c r="V23" i="3"/>
  <c r="W8" i="3"/>
  <c r="W23" i="3"/>
  <c r="AB14" i="3" l="1"/>
  <c r="AB20" i="3"/>
  <c r="AB17" i="3"/>
  <c r="AB23" i="3"/>
  <c r="AB8" i="3"/>
  <c r="R8" i="3"/>
  <c r="P9" i="3"/>
  <c r="R9" i="3" l="1"/>
  <c r="P10" i="3"/>
  <c r="R10" i="3" l="1"/>
  <c r="P11" i="3"/>
  <c r="R11" i="3" l="1"/>
  <c r="P12" i="3"/>
  <c r="R12" i="3" l="1"/>
  <c r="P13" i="3"/>
  <c r="R13" i="3" l="1"/>
  <c r="P14" i="3"/>
  <c r="P15" i="3" l="1"/>
  <c r="R14" i="3"/>
  <c r="R15" i="3" l="1"/>
  <c r="P16" i="3"/>
  <c r="R16" i="3" l="1"/>
  <c r="P17" i="3"/>
  <c r="R17" i="3" l="1"/>
  <c r="P18" i="3"/>
  <c r="P19" i="3" l="1"/>
  <c r="R18" i="3"/>
  <c r="R19" i="3" l="1"/>
  <c r="P20" i="3"/>
  <c r="R20" i="3" l="1"/>
  <c r="P21" i="3"/>
  <c r="R21" i="3" l="1"/>
  <c r="P22" i="3"/>
  <c r="R22" i="3" l="1"/>
  <c r="P23" i="3"/>
  <c r="R23" i="3" l="1"/>
  <c r="P24" i="3"/>
  <c r="R24" i="3" l="1"/>
  <c r="V6" i="3" l="1"/>
  <c r="V7" i="3" s="1"/>
  <c r="AE3" i="3"/>
  <c r="T4" i="3"/>
  <c r="AA3" i="3"/>
  <c r="AA4" i="3" s="1"/>
  <c r="AC4" i="3" l="1"/>
  <c r="T5" i="3"/>
  <c r="AF3" i="3"/>
  <c r="AE4" i="3"/>
  <c r="AA15" i="3"/>
  <c r="AA16" i="3" s="1"/>
  <c r="X6" i="3"/>
  <c r="X7" i="3" s="1"/>
  <c r="X12" i="3"/>
  <c r="X13" i="3" s="1"/>
  <c r="X3" i="3"/>
  <c r="X4" i="3" s="1"/>
  <c r="AA6" i="3"/>
  <c r="AA7" i="3" s="1"/>
  <c r="U9" i="3"/>
  <c r="W24" i="3"/>
  <c r="V3" i="3"/>
  <c r="V4" i="3" s="1"/>
  <c r="Z18" i="3"/>
  <c r="Z19" i="3" s="1"/>
  <c r="X24" i="3"/>
  <c r="Y3" i="3"/>
  <c r="Y4" i="3" s="1"/>
  <c r="V15" i="3"/>
  <c r="V16" i="3" s="1"/>
  <c r="Y12" i="3"/>
  <c r="Y13" i="3" s="1"/>
  <c r="V12" i="3"/>
  <c r="V13" i="3" s="1"/>
  <c r="Y15" i="3"/>
  <c r="Y16" i="3" s="1"/>
  <c r="V9" i="3"/>
  <c r="V10" i="3" s="1"/>
  <c r="U6" i="3"/>
  <c r="U12" i="3"/>
  <c r="Z15" i="3"/>
  <c r="Z16" i="3" s="1"/>
  <c r="W3" i="3"/>
  <c r="W4" i="3" s="1"/>
  <c r="Z3" i="3"/>
  <c r="Z4" i="3" s="1"/>
  <c r="V24" i="3"/>
  <c r="X18" i="3"/>
  <c r="X19" i="3" s="1"/>
  <c r="AA9" i="3"/>
  <c r="AA10" i="3" s="1"/>
  <c r="AA12" i="3"/>
  <c r="AA13" i="3" s="1"/>
  <c r="C15" i="3"/>
  <c r="Z24" i="3"/>
  <c r="AA18" i="3"/>
  <c r="AA19" i="3" s="1"/>
  <c r="W15" i="3"/>
  <c r="W16" i="3" s="1"/>
  <c r="W6" i="3"/>
  <c r="W7" i="3" s="1"/>
  <c r="AA21" i="3"/>
  <c r="AA22" i="3" s="1"/>
  <c r="Y18" i="3"/>
  <c r="Y19" i="3" s="1"/>
  <c r="Y24" i="3"/>
  <c r="V18" i="3"/>
  <c r="V19" i="3" s="1"/>
  <c r="Y9" i="3"/>
  <c r="Y10" i="3" s="1"/>
  <c r="Y6" i="3"/>
  <c r="Y7" i="3" s="1"/>
  <c r="U18" i="3"/>
  <c r="Z6" i="3"/>
  <c r="Z7" i="3" s="1"/>
  <c r="Z12" i="3"/>
  <c r="Z13" i="3" s="1"/>
  <c r="W9" i="3"/>
  <c r="W10" i="3" s="1"/>
  <c r="W18" i="3"/>
  <c r="W19" i="3" s="1"/>
  <c r="X15" i="3"/>
  <c r="X16" i="3" s="1"/>
  <c r="X9" i="3"/>
  <c r="X10" i="3" s="1"/>
  <c r="Z9" i="3"/>
  <c r="Z10" i="3" s="1"/>
  <c r="AF4" i="3" l="1"/>
  <c r="AE5" i="3"/>
  <c r="AC5" i="3"/>
  <c r="T6" i="3"/>
  <c r="X21" i="3"/>
  <c r="X22" i="3" s="1"/>
  <c r="W12" i="3"/>
  <c r="W13" i="3" s="1"/>
  <c r="U3" i="3"/>
  <c r="U4" i="3" s="1"/>
  <c r="AB4" i="3" s="1"/>
  <c r="AG8" i="3"/>
  <c r="AG9" i="3"/>
  <c r="W21" i="3"/>
  <c r="W22" i="3" s="1"/>
  <c r="AA24" i="3"/>
  <c r="V21" i="3"/>
  <c r="V22" i="3" s="1"/>
  <c r="AG6" i="3"/>
  <c r="U15" i="3"/>
  <c r="U16" i="3" s="1"/>
  <c r="AB16" i="3" s="1"/>
  <c r="Z21" i="3"/>
  <c r="Z22" i="3" s="1"/>
  <c r="U21" i="3"/>
  <c r="U22" i="3" s="1"/>
  <c r="Y21" i="3"/>
  <c r="Y22" i="3" s="1"/>
  <c r="U24" i="3"/>
  <c r="AB18" i="3"/>
  <c r="U19" i="3"/>
  <c r="AB19" i="3" s="1"/>
  <c r="AB6" i="3"/>
  <c r="U7" i="3"/>
  <c r="AB7" i="3" s="1"/>
  <c r="U13" i="3"/>
  <c r="AB9" i="3"/>
  <c r="U10" i="3"/>
  <c r="AB10" i="3" s="1"/>
  <c r="AC6" i="3" l="1"/>
  <c r="T7" i="3"/>
  <c r="AE6" i="3"/>
  <c r="AF5" i="3"/>
  <c r="AB12" i="3"/>
  <c r="AB3" i="3"/>
  <c r="AG7" i="3"/>
  <c r="AG3" i="3"/>
  <c r="AB22" i="3"/>
  <c r="AB13" i="3"/>
  <c r="AG4" i="3"/>
  <c r="AB24" i="3"/>
  <c r="AB21" i="3"/>
  <c r="AB15" i="3"/>
  <c r="AG5" i="3"/>
  <c r="AE7" i="3" l="1"/>
  <c r="AF6" i="3"/>
  <c r="AC7" i="3"/>
  <c r="T8" i="3"/>
  <c r="AC8" i="3" l="1"/>
  <c r="T9" i="3"/>
  <c r="AE8" i="3"/>
  <c r="AF7" i="3"/>
  <c r="AE9" i="3" l="1"/>
  <c r="AF9" i="3" s="1"/>
  <c r="AF8" i="3"/>
  <c r="AC9" i="3"/>
  <c r="T10" i="3"/>
  <c r="AC10" i="3" l="1"/>
  <c r="T11" i="3"/>
  <c r="AC11" i="3" l="1"/>
  <c r="T12" i="3"/>
  <c r="AC12" i="3" l="1"/>
  <c r="T13" i="3"/>
  <c r="AC13" i="3" l="1"/>
  <c r="T14" i="3"/>
  <c r="AC14" i="3" l="1"/>
  <c r="T15" i="3"/>
  <c r="AC15" i="3" l="1"/>
  <c r="T16" i="3"/>
  <c r="AC16" i="3" l="1"/>
  <c r="T17" i="3"/>
  <c r="AC17" i="3" l="1"/>
  <c r="T18" i="3"/>
  <c r="AC18" i="3" l="1"/>
  <c r="T19" i="3"/>
  <c r="AC19" i="3" l="1"/>
  <c r="T20" i="3"/>
  <c r="AC20" i="3" l="1"/>
  <c r="T21" i="3"/>
  <c r="AC21" i="3" l="1"/>
  <c r="T22" i="3"/>
  <c r="AC22" i="3" l="1"/>
  <c r="T23" i="3"/>
  <c r="AC23" i="3" l="1"/>
  <c r="T24" i="3"/>
  <c r="AC2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D. Henderson</author>
  </authors>
  <commentList>
    <comment ref="T3" authorId="0" shapeId="0" xr:uid="{A9436FE9-5537-46F9-8371-8E03635B9ED0}">
      <text>
        <r>
          <rPr>
            <b/>
            <sz val="9"/>
            <color indexed="81"/>
            <rFont val="Tahoma"/>
            <family val="2"/>
          </rPr>
          <t>Andrew D. Henderson:</t>
        </r>
        <r>
          <rPr>
            <sz val="9"/>
            <color indexed="81"/>
            <rFont val="Tahoma"/>
            <family val="2"/>
          </rPr>
          <t xml:space="preserve">
cumulative fraction
</t>
        </r>
      </text>
    </comment>
  </commentList>
</comments>
</file>

<file path=xl/sharedStrings.xml><?xml version="1.0" encoding="utf-8"?>
<sst xmlns="http://schemas.openxmlformats.org/spreadsheetml/2006/main" count="29" uniqueCount="26">
  <si>
    <t>x</t>
  </si>
  <si>
    <t>y</t>
  </si>
  <si>
    <t>y2</t>
  </si>
  <si>
    <t>col →</t>
  </si>
  <si>
    <t>Label</t>
  </si>
  <si>
    <t>population fraction %</t>
  </si>
  <si>
    <t>South Asia</t>
  </si>
  <si>
    <t>Europe &amp; Central Asia</t>
  </si>
  <si>
    <t>Middle East &amp; North Africa</t>
  </si>
  <si>
    <t>Sub-Saharan Africa</t>
  </si>
  <si>
    <t>Latin America &amp; Caribbean</t>
  </si>
  <si>
    <t>East Asia &amp; Pacific</t>
  </si>
  <si>
    <t>North America</t>
  </si>
  <si>
    <t>DALY per capita</t>
  </si>
  <si>
    <t>area</t>
  </si>
  <si>
    <t>number</t>
  </si>
  <si>
    <t>data num</t>
  </si>
  <si>
    <t>number mod</t>
  </si>
  <si>
    <t>label</t>
  </si>
  <si>
    <t>total y</t>
  </si>
  <si>
    <t>cumul. x</t>
  </si>
  <si>
    <t>label_x</t>
  </si>
  <si>
    <t>label_y</t>
  </si>
  <si>
    <t>n/a</t>
  </si>
  <si>
    <t>cumul x →</t>
  </si>
  <si>
    <t>xlookup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</si>
</sst>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"/>
    <numFmt numFmtId="166" formatCode="0.0000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2" fontId="0" fillId="0" borderId="0" xfId="0" applyNumberFormat="1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2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 Pro SemiBold" panose="020B0604020202020204" pitchFamily="34" charset="0"/>
                <a:ea typeface="+mj-ea"/>
                <a:cs typeface="+mj-cs"/>
              </a:defRPr>
            </a:pPr>
            <a:r>
              <a:rPr lang="da-DK">
                <a:latin typeface="Verdana Pro SemiBold" panose="020B0604020202020204" pitchFamily="34" charset="0"/>
              </a:rPr>
              <a:t>Human</a:t>
            </a:r>
            <a:r>
              <a:rPr lang="da-DK" baseline="0">
                <a:latin typeface="Verdana Pro SemiBold" panose="020B0604020202020204" pitchFamily="34" charset="0"/>
              </a:rPr>
              <a:t> health damage induced per region [DALY/capita]</a:t>
            </a:r>
            <a:endParaRPr lang="da-DK">
              <a:latin typeface="Verdana Pro SemiBold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Verdana Pro SemiBold" panose="020B0604020202020204" pitchFamily="34" charset="0"/>
              <a:ea typeface="+mj-ea"/>
              <a:cs typeface="+mj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3.9990859621644448E-2"/>
          <c:y val="0.20681871768083246"/>
          <c:w val="0.96000914037835561"/>
          <c:h val="0.70672438142706462"/>
        </c:manualLayout>
      </c:layout>
      <c:areaChart>
        <c:grouping val="stacked"/>
        <c:varyColors val="0"/>
        <c:ser>
          <c:idx val="0"/>
          <c:order val="0"/>
          <c:tx>
            <c:strRef>
              <c:f>'Area graph receptor'!$U$2</c:f>
              <c:strCache>
                <c:ptCount val="1"/>
                <c:pt idx="0">
                  <c:v>South Asia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'Area graph receptor'!$T$3:$T$24</c:f>
              <c:numCache>
                <c:formatCode>0.0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47.241152640402042</c:v>
                </c:pt>
                <c:pt idx="8">
                  <c:v>47.241152640402042</c:v>
                </c:pt>
                <c:pt idx="9">
                  <c:v>47.241152640402042</c:v>
                </c:pt>
                <c:pt idx="10">
                  <c:v>77.751889178731858</c:v>
                </c:pt>
                <c:pt idx="11">
                  <c:v>77.751889178731858</c:v>
                </c:pt>
                <c:pt idx="12">
                  <c:v>77.751889178731858</c:v>
                </c:pt>
                <c:pt idx="13">
                  <c:v>83.14873464393888</c:v>
                </c:pt>
                <c:pt idx="14">
                  <c:v>83.14873464393888</c:v>
                </c:pt>
                <c:pt idx="15">
                  <c:v>83.14873464393888</c:v>
                </c:pt>
                <c:pt idx="16">
                  <c:v>95.152057205664988</c:v>
                </c:pt>
                <c:pt idx="17">
                  <c:v>95.152057205664988</c:v>
                </c:pt>
                <c:pt idx="18">
                  <c:v>95.152057205664988</c:v>
                </c:pt>
                <c:pt idx="19">
                  <c:v>100.00000000000001</c:v>
                </c:pt>
                <c:pt idx="20">
                  <c:v>100.00000000000001</c:v>
                </c:pt>
                <c:pt idx="21">
                  <c:v>100.00000000000001</c:v>
                </c:pt>
              </c:numCache>
            </c:numRef>
          </c:cat>
          <c:val>
            <c:numRef>
              <c:f>'Area graph receptor'!$U$3:$U$24</c:f>
              <c:numCache>
                <c:formatCode>0.00E+00</c:formatCode>
                <c:ptCount val="22"/>
                <c:pt idx="0">
                  <c:v>4.9789531659859146E-3</c:v>
                </c:pt>
                <c:pt idx="1">
                  <c:v>4.9789531659859146E-3</c:v>
                </c:pt>
                <c:pt idx="2">
                  <c:v>0</c:v>
                </c:pt>
                <c:pt idx="3">
                  <c:v>3.1741319804097206E-3</c:v>
                </c:pt>
                <c:pt idx="4">
                  <c:v>3.1741319804097206E-3</c:v>
                </c:pt>
                <c:pt idx="5">
                  <c:v>0</c:v>
                </c:pt>
                <c:pt idx="6">
                  <c:v>5.8607860140222747E-4</c:v>
                </c:pt>
                <c:pt idx="7">
                  <c:v>5.8607860140222747E-4</c:v>
                </c:pt>
                <c:pt idx="8">
                  <c:v>0</c:v>
                </c:pt>
                <c:pt idx="9">
                  <c:v>7.2275740962498007E-4</c:v>
                </c:pt>
                <c:pt idx="10">
                  <c:v>7.2275740962498007E-4</c:v>
                </c:pt>
                <c:pt idx="11">
                  <c:v>0</c:v>
                </c:pt>
                <c:pt idx="12">
                  <c:v>7.5123027527632959E-4</c:v>
                </c:pt>
                <c:pt idx="13">
                  <c:v>7.5123027527632959E-4</c:v>
                </c:pt>
                <c:pt idx="14">
                  <c:v>0</c:v>
                </c:pt>
                <c:pt idx="15">
                  <c:v>1.6817514371145808E-4</c:v>
                </c:pt>
                <c:pt idx="16">
                  <c:v>1.6817514371145808E-4</c:v>
                </c:pt>
                <c:pt idx="17">
                  <c:v>0</c:v>
                </c:pt>
                <c:pt idx="18">
                  <c:v>-1.1551365027760857E-4</c:v>
                </c:pt>
                <c:pt idx="19">
                  <c:v>-1.1551365027760857E-4</c:v>
                </c:pt>
                <c:pt idx="20">
                  <c:v>0</c:v>
                </c:pt>
                <c:pt idx="21">
                  <c:v>-1.1551365027760857E-4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9-462C-BCC3-608C9FBA5A03}"/>
            </c:ext>
          </c:extLst>
        </c:ser>
        <c:ser>
          <c:idx val="1"/>
          <c:order val="1"/>
          <c:tx>
            <c:strRef>
              <c:f>'Area graph receptor'!$V$2</c:f>
              <c:strCache>
                <c:ptCount val="1"/>
                <c:pt idx="0">
                  <c:v>Europe &amp; Central Asia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'Area graph receptor'!$T$3:$T$24</c:f>
              <c:numCache>
                <c:formatCode>0.0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47.241152640402042</c:v>
                </c:pt>
                <c:pt idx="8">
                  <c:v>47.241152640402042</c:v>
                </c:pt>
                <c:pt idx="9">
                  <c:v>47.241152640402042</c:v>
                </c:pt>
                <c:pt idx="10">
                  <c:v>77.751889178731858</c:v>
                </c:pt>
                <c:pt idx="11">
                  <c:v>77.751889178731858</c:v>
                </c:pt>
                <c:pt idx="12">
                  <c:v>77.751889178731858</c:v>
                </c:pt>
                <c:pt idx="13">
                  <c:v>83.14873464393888</c:v>
                </c:pt>
                <c:pt idx="14">
                  <c:v>83.14873464393888</c:v>
                </c:pt>
                <c:pt idx="15">
                  <c:v>83.14873464393888</c:v>
                </c:pt>
                <c:pt idx="16">
                  <c:v>95.152057205664988</c:v>
                </c:pt>
                <c:pt idx="17">
                  <c:v>95.152057205664988</c:v>
                </c:pt>
                <c:pt idx="18">
                  <c:v>95.152057205664988</c:v>
                </c:pt>
                <c:pt idx="19">
                  <c:v>100.00000000000001</c:v>
                </c:pt>
                <c:pt idx="20">
                  <c:v>100.00000000000001</c:v>
                </c:pt>
                <c:pt idx="21">
                  <c:v>100.00000000000001</c:v>
                </c:pt>
              </c:numCache>
            </c:numRef>
          </c:cat>
          <c:val>
            <c:numRef>
              <c:f>'Area graph receptor'!$V$3:$V$243</c:f>
              <c:numCache>
                <c:formatCode>0.00E+00</c:formatCode>
                <c:ptCount val="241"/>
                <c:pt idx="0">
                  <c:v>1.2541686191647214E-2</c:v>
                </c:pt>
                <c:pt idx="1">
                  <c:v>1.2541686191647214E-2</c:v>
                </c:pt>
                <c:pt idx="2">
                  <c:v>0</c:v>
                </c:pt>
                <c:pt idx="3">
                  <c:v>7.9954492243727669E-3</c:v>
                </c:pt>
                <c:pt idx="4">
                  <c:v>7.9954492243727669E-3</c:v>
                </c:pt>
                <c:pt idx="5">
                  <c:v>0</c:v>
                </c:pt>
                <c:pt idx="6">
                  <c:v>1.4762970563051531E-3</c:v>
                </c:pt>
                <c:pt idx="7">
                  <c:v>1.4762970563051531E-3</c:v>
                </c:pt>
                <c:pt idx="8">
                  <c:v>0</c:v>
                </c:pt>
                <c:pt idx="9">
                  <c:v>1.8205828257493526E-3</c:v>
                </c:pt>
                <c:pt idx="10">
                  <c:v>1.8205828257493526E-3</c:v>
                </c:pt>
                <c:pt idx="11">
                  <c:v>0</c:v>
                </c:pt>
                <c:pt idx="12">
                  <c:v>1.8923042768398545E-3</c:v>
                </c:pt>
                <c:pt idx="13">
                  <c:v>1.8923042768398545E-3</c:v>
                </c:pt>
                <c:pt idx="14">
                  <c:v>0</c:v>
                </c:pt>
                <c:pt idx="15">
                  <c:v>4.2362316080284384E-4</c:v>
                </c:pt>
                <c:pt idx="16">
                  <c:v>4.2362316080284384E-4</c:v>
                </c:pt>
                <c:pt idx="17">
                  <c:v>0</c:v>
                </c:pt>
                <c:pt idx="18">
                  <c:v>-2.9097199839729269E-4</c:v>
                </c:pt>
                <c:pt idx="19">
                  <c:v>-2.9097199839729269E-4</c:v>
                </c:pt>
                <c:pt idx="20">
                  <c:v>0</c:v>
                </c:pt>
                <c:pt idx="21">
                  <c:v>-2.9097199839729269E-4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9-462C-BCC3-608C9FBA5A03}"/>
            </c:ext>
          </c:extLst>
        </c:ser>
        <c:ser>
          <c:idx val="3"/>
          <c:order val="2"/>
          <c:tx>
            <c:strRef>
              <c:f>'Area graph receptor'!$W$2</c:f>
              <c:strCache>
                <c:ptCount val="1"/>
                <c:pt idx="0">
                  <c:v>Middle East &amp; North Africa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cat>
            <c:numRef>
              <c:f>'Area graph receptor'!$T$3:$T$24</c:f>
              <c:numCache>
                <c:formatCode>0.0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47.241152640402042</c:v>
                </c:pt>
                <c:pt idx="8">
                  <c:v>47.241152640402042</c:v>
                </c:pt>
                <c:pt idx="9">
                  <c:v>47.241152640402042</c:v>
                </c:pt>
                <c:pt idx="10">
                  <c:v>77.751889178731858</c:v>
                </c:pt>
                <c:pt idx="11">
                  <c:v>77.751889178731858</c:v>
                </c:pt>
                <c:pt idx="12">
                  <c:v>77.751889178731858</c:v>
                </c:pt>
                <c:pt idx="13">
                  <c:v>83.14873464393888</c:v>
                </c:pt>
                <c:pt idx="14">
                  <c:v>83.14873464393888</c:v>
                </c:pt>
                <c:pt idx="15">
                  <c:v>83.14873464393888</c:v>
                </c:pt>
                <c:pt idx="16">
                  <c:v>95.152057205664988</c:v>
                </c:pt>
                <c:pt idx="17">
                  <c:v>95.152057205664988</c:v>
                </c:pt>
                <c:pt idx="18">
                  <c:v>95.152057205664988</c:v>
                </c:pt>
                <c:pt idx="19">
                  <c:v>100.00000000000001</c:v>
                </c:pt>
                <c:pt idx="20">
                  <c:v>100.00000000000001</c:v>
                </c:pt>
                <c:pt idx="21">
                  <c:v>100.00000000000001</c:v>
                </c:pt>
              </c:numCache>
            </c:numRef>
          </c:cat>
          <c:val>
            <c:numRef>
              <c:f>'Area graph receptor'!$W$3:$W$24</c:f>
              <c:numCache>
                <c:formatCode>0.00E+00</c:formatCode>
                <c:ptCount val="22"/>
                <c:pt idx="0">
                  <c:v>4.9180328780932935E-3</c:v>
                </c:pt>
                <c:pt idx="1">
                  <c:v>4.9180328780932935E-3</c:v>
                </c:pt>
                <c:pt idx="2">
                  <c:v>0</c:v>
                </c:pt>
                <c:pt idx="3">
                  <c:v>3.1352946932111285E-3</c:v>
                </c:pt>
                <c:pt idx="4">
                  <c:v>3.1352946932111285E-3</c:v>
                </c:pt>
                <c:pt idx="5">
                  <c:v>0</c:v>
                </c:pt>
                <c:pt idx="6">
                  <c:v>5.7890760060450095E-4</c:v>
                </c:pt>
                <c:pt idx="7">
                  <c:v>5.7890760060450095E-4</c:v>
                </c:pt>
                <c:pt idx="8">
                  <c:v>0</c:v>
                </c:pt>
                <c:pt idx="9">
                  <c:v>7.1391406685733223E-4</c:v>
                </c:pt>
                <c:pt idx="10">
                  <c:v>7.1391406685733223E-4</c:v>
                </c:pt>
                <c:pt idx="11">
                  <c:v>0</c:v>
                </c:pt>
                <c:pt idx="12">
                  <c:v>7.420385510086392E-4</c:v>
                </c:pt>
                <c:pt idx="13">
                  <c:v>7.420385510086392E-4</c:v>
                </c:pt>
                <c:pt idx="14">
                  <c:v>0</c:v>
                </c:pt>
                <c:pt idx="15">
                  <c:v>1.6611742639021949E-4</c:v>
                </c:pt>
                <c:pt idx="16">
                  <c:v>1.6611742639021949E-4</c:v>
                </c:pt>
                <c:pt idx="17">
                  <c:v>0</c:v>
                </c:pt>
                <c:pt idx="18">
                  <c:v>-1.1410027590033705E-4</c:v>
                </c:pt>
                <c:pt idx="19">
                  <c:v>-1.1410027590033705E-4</c:v>
                </c:pt>
                <c:pt idx="20">
                  <c:v>0</c:v>
                </c:pt>
                <c:pt idx="21">
                  <c:v>-1.1410027590033705E-4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9-462C-BCC3-608C9FBA5A03}"/>
            </c:ext>
          </c:extLst>
        </c:ser>
        <c:ser>
          <c:idx val="4"/>
          <c:order val="3"/>
          <c:tx>
            <c:strRef>
              <c:f>'Area graph receptor'!$X$2</c:f>
              <c:strCache>
                <c:ptCount val="1"/>
                <c:pt idx="0">
                  <c:v>Sub-Saharan Africa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'Area graph receptor'!$T$3:$T$24</c:f>
              <c:numCache>
                <c:formatCode>0.0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47.241152640402042</c:v>
                </c:pt>
                <c:pt idx="8">
                  <c:v>47.241152640402042</c:v>
                </c:pt>
                <c:pt idx="9">
                  <c:v>47.241152640402042</c:v>
                </c:pt>
                <c:pt idx="10">
                  <c:v>77.751889178731858</c:v>
                </c:pt>
                <c:pt idx="11">
                  <c:v>77.751889178731858</c:v>
                </c:pt>
                <c:pt idx="12">
                  <c:v>77.751889178731858</c:v>
                </c:pt>
                <c:pt idx="13">
                  <c:v>83.14873464393888</c:v>
                </c:pt>
                <c:pt idx="14">
                  <c:v>83.14873464393888</c:v>
                </c:pt>
                <c:pt idx="15">
                  <c:v>83.14873464393888</c:v>
                </c:pt>
                <c:pt idx="16">
                  <c:v>95.152057205664988</c:v>
                </c:pt>
                <c:pt idx="17">
                  <c:v>95.152057205664988</c:v>
                </c:pt>
                <c:pt idx="18">
                  <c:v>95.152057205664988</c:v>
                </c:pt>
                <c:pt idx="19">
                  <c:v>100.00000000000001</c:v>
                </c:pt>
                <c:pt idx="20">
                  <c:v>100.00000000000001</c:v>
                </c:pt>
                <c:pt idx="21">
                  <c:v>100.00000000000001</c:v>
                </c:pt>
              </c:numCache>
            </c:numRef>
          </c:cat>
          <c:val>
            <c:numRef>
              <c:f>'Area graph receptor'!$X$3:$X$24</c:f>
              <c:numCache>
                <c:formatCode>0.00E+00</c:formatCode>
                <c:ptCount val="22"/>
                <c:pt idx="0">
                  <c:v>2.1411865990822593E-3</c:v>
                </c:pt>
                <c:pt idx="1">
                  <c:v>2.1411865990822593E-3</c:v>
                </c:pt>
                <c:pt idx="2">
                  <c:v>0</c:v>
                </c:pt>
                <c:pt idx="3">
                  <c:v>1.365027674211096E-3</c:v>
                </c:pt>
                <c:pt idx="4">
                  <c:v>1.365027674211096E-3</c:v>
                </c:pt>
                <c:pt idx="5">
                  <c:v>0</c:v>
                </c:pt>
                <c:pt idx="6">
                  <c:v>2.5204166528504211E-4</c:v>
                </c:pt>
                <c:pt idx="7">
                  <c:v>2.5204166528504211E-4</c:v>
                </c:pt>
                <c:pt idx="8">
                  <c:v>0</c:v>
                </c:pt>
                <c:pt idx="9">
                  <c:v>3.1082005158206231E-4</c:v>
                </c:pt>
                <c:pt idx="10">
                  <c:v>3.1082005158206231E-4</c:v>
                </c:pt>
                <c:pt idx="11">
                  <c:v>0</c:v>
                </c:pt>
                <c:pt idx="12">
                  <c:v>3.2306473763105576E-4</c:v>
                </c:pt>
                <c:pt idx="13">
                  <c:v>3.2306473763105576E-4</c:v>
                </c:pt>
                <c:pt idx="14">
                  <c:v>0</c:v>
                </c:pt>
                <c:pt idx="15">
                  <c:v>7.2323308135075119E-5</c:v>
                </c:pt>
                <c:pt idx="16">
                  <c:v>7.2323308135075119E-5</c:v>
                </c:pt>
                <c:pt idx="17">
                  <c:v>0</c:v>
                </c:pt>
                <c:pt idx="18">
                  <c:v>-4.9676362026296253E-5</c:v>
                </c:pt>
                <c:pt idx="19">
                  <c:v>-4.9676362026296253E-5</c:v>
                </c:pt>
                <c:pt idx="20">
                  <c:v>0</c:v>
                </c:pt>
                <c:pt idx="21">
                  <c:v>-4.9676362026296253E-5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29-462C-BCC3-608C9FBA5A03}"/>
            </c:ext>
          </c:extLst>
        </c:ser>
        <c:ser>
          <c:idx val="5"/>
          <c:order val="4"/>
          <c:tx>
            <c:strRef>
              <c:f>'Area graph receptor'!$Y$2</c:f>
              <c:strCache>
                <c:ptCount val="1"/>
                <c:pt idx="0">
                  <c:v>Latin America &amp; Caribbean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'Area graph receptor'!$T$3:$T$24</c:f>
              <c:numCache>
                <c:formatCode>0.0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47.241152640402042</c:v>
                </c:pt>
                <c:pt idx="8">
                  <c:v>47.241152640402042</c:v>
                </c:pt>
                <c:pt idx="9">
                  <c:v>47.241152640402042</c:v>
                </c:pt>
                <c:pt idx="10">
                  <c:v>77.751889178731858</c:v>
                </c:pt>
                <c:pt idx="11">
                  <c:v>77.751889178731858</c:v>
                </c:pt>
                <c:pt idx="12">
                  <c:v>77.751889178731858</c:v>
                </c:pt>
                <c:pt idx="13">
                  <c:v>83.14873464393888</c:v>
                </c:pt>
                <c:pt idx="14">
                  <c:v>83.14873464393888</c:v>
                </c:pt>
                <c:pt idx="15">
                  <c:v>83.14873464393888</c:v>
                </c:pt>
                <c:pt idx="16">
                  <c:v>95.152057205664988</c:v>
                </c:pt>
                <c:pt idx="17">
                  <c:v>95.152057205664988</c:v>
                </c:pt>
                <c:pt idx="18">
                  <c:v>95.152057205664988</c:v>
                </c:pt>
                <c:pt idx="19">
                  <c:v>100.00000000000001</c:v>
                </c:pt>
                <c:pt idx="20">
                  <c:v>100.00000000000001</c:v>
                </c:pt>
                <c:pt idx="21">
                  <c:v>100.00000000000001</c:v>
                </c:pt>
              </c:numCache>
            </c:numRef>
          </c:cat>
          <c:val>
            <c:numRef>
              <c:f>'Area graph receptor'!$Y$3:$Y$24</c:f>
              <c:numCache>
                <c:formatCode>0.00E+00</c:formatCode>
                <c:ptCount val="22"/>
                <c:pt idx="0">
                  <c:v>3.8499135496420337E-3</c:v>
                </c:pt>
                <c:pt idx="1">
                  <c:v>3.8499135496420337E-3</c:v>
                </c:pt>
                <c:pt idx="2">
                  <c:v>0</c:v>
                </c:pt>
                <c:pt idx="3">
                  <c:v>2.4543580371902732E-3</c:v>
                </c:pt>
                <c:pt idx="4">
                  <c:v>2.4543580371902732E-3</c:v>
                </c:pt>
                <c:pt idx="5">
                  <c:v>0</c:v>
                </c:pt>
                <c:pt idx="6">
                  <c:v>4.5317798209232481E-4</c:v>
                </c:pt>
                <c:pt idx="7">
                  <c:v>4.5317798209232481E-4</c:v>
                </c:pt>
                <c:pt idx="8">
                  <c:v>0</c:v>
                </c:pt>
                <c:pt idx="9">
                  <c:v>5.5886316895459244E-4</c:v>
                </c:pt>
                <c:pt idx="10">
                  <c:v>5.5886316895459244E-4</c:v>
                </c:pt>
                <c:pt idx="11">
                  <c:v>0</c:v>
                </c:pt>
                <c:pt idx="12">
                  <c:v>5.8087945784381751E-4</c:v>
                </c:pt>
                <c:pt idx="13">
                  <c:v>5.8087945784381751E-4</c:v>
                </c:pt>
                <c:pt idx="14">
                  <c:v>0</c:v>
                </c:pt>
                <c:pt idx="15">
                  <c:v>1.3003933616224949E-4</c:v>
                </c:pt>
                <c:pt idx="16">
                  <c:v>1.3003933616224949E-4</c:v>
                </c:pt>
                <c:pt idx="17">
                  <c:v>0</c:v>
                </c:pt>
                <c:pt idx="18">
                  <c:v>-8.931949197885558E-5</c:v>
                </c:pt>
                <c:pt idx="19">
                  <c:v>-8.931949197885558E-5</c:v>
                </c:pt>
                <c:pt idx="20">
                  <c:v>0</c:v>
                </c:pt>
                <c:pt idx="21">
                  <c:v>-8.931949197885558E-5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29-462C-BCC3-608C9FBA5A03}"/>
            </c:ext>
          </c:extLst>
        </c:ser>
        <c:ser>
          <c:idx val="6"/>
          <c:order val="5"/>
          <c:tx>
            <c:strRef>
              <c:f>'Area graph receptor'!$Z$2</c:f>
              <c:strCache>
                <c:ptCount val="1"/>
                <c:pt idx="0">
                  <c:v>East Asia &amp; Pacific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cat>
            <c:numRef>
              <c:f>'Area graph receptor'!$T$3:$T$24</c:f>
              <c:numCache>
                <c:formatCode>0.0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47.241152640402042</c:v>
                </c:pt>
                <c:pt idx="8">
                  <c:v>47.241152640402042</c:v>
                </c:pt>
                <c:pt idx="9">
                  <c:v>47.241152640402042</c:v>
                </c:pt>
                <c:pt idx="10">
                  <c:v>77.751889178731858</c:v>
                </c:pt>
                <c:pt idx="11">
                  <c:v>77.751889178731858</c:v>
                </c:pt>
                <c:pt idx="12">
                  <c:v>77.751889178731858</c:v>
                </c:pt>
                <c:pt idx="13">
                  <c:v>83.14873464393888</c:v>
                </c:pt>
                <c:pt idx="14">
                  <c:v>83.14873464393888</c:v>
                </c:pt>
                <c:pt idx="15">
                  <c:v>83.14873464393888</c:v>
                </c:pt>
                <c:pt idx="16">
                  <c:v>95.152057205664988</c:v>
                </c:pt>
                <c:pt idx="17">
                  <c:v>95.152057205664988</c:v>
                </c:pt>
                <c:pt idx="18">
                  <c:v>95.152057205664988</c:v>
                </c:pt>
                <c:pt idx="19">
                  <c:v>100.00000000000001</c:v>
                </c:pt>
                <c:pt idx="20">
                  <c:v>100.00000000000001</c:v>
                </c:pt>
                <c:pt idx="21">
                  <c:v>100.00000000000001</c:v>
                </c:pt>
              </c:numCache>
            </c:numRef>
          </c:cat>
          <c:val>
            <c:numRef>
              <c:f>'Area graph receptor'!$Z$3:$Z$24</c:f>
              <c:numCache>
                <c:formatCode>0.00E+00</c:formatCode>
                <c:ptCount val="22"/>
                <c:pt idx="0">
                  <c:v>2.682869382063633E-2</c:v>
                </c:pt>
                <c:pt idx="1">
                  <c:v>2.682869382063633E-2</c:v>
                </c:pt>
                <c:pt idx="2">
                  <c:v>0</c:v>
                </c:pt>
                <c:pt idx="3">
                  <c:v>1.7103558159667846E-2</c:v>
                </c:pt>
                <c:pt idx="4">
                  <c:v>1.7103558159667846E-2</c:v>
                </c:pt>
                <c:pt idx="5">
                  <c:v>0</c:v>
                </c:pt>
                <c:pt idx="6">
                  <c:v>3.1580380107338428E-3</c:v>
                </c:pt>
                <c:pt idx="7">
                  <c:v>3.1580380107338428E-3</c:v>
                </c:pt>
                <c:pt idx="8">
                  <c:v>0</c:v>
                </c:pt>
                <c:pt idx="9">
                  <c:v>3.8945209169456334E-3</c:v>
                </c:pt>
                <c:pt idx="10">
                  <c:v>3.8945209169456334E-3</c:v>
                </c:pt>
                <c:pt idx="11">
                  <c:v>0</c:v>
                </c:pt>
                <c:pt idx="12">
                  <c:v>4.0479446928459051E-3</c:v>
                </c:pt>
                <c:pt idx="13">
                  <c:v>4.0479446928459051E-3</c:v>
                </c:pt>
                <c:pt idx="14">
                  <c:v>0</c:v>
                </c:pt>
                <c:pt idx="15">
                  <c:v>9.061984092760166E-4</c:v>
                </c:pt>
                <c:pt idx="16">
                  <c:v>9.061984092760166E-4</c:v>
                </c:pt>
                <c:pt idx="17">
                  <c:v>0</c:v>
                </c:pt>
                <c:pt idx="18">
                  <c:v>-6.2243613307584806E-4</c:v>
                </c:pt>
                <c:pt idx="19">
                  <c:v>-6.2243613307584806E-4</c:v>
                </c:pt>
                <c:pt idx="20">
                  <c:v>0</c:v>
                </c:pt>
                <c:pt idx="21">
                  <c:v>-6.2243613307584806E-4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29-462C-BCC3-608C9FBA5A03}"/>
            </c:ext>
          </c:extLst>
        </c:ser>
        <c:ser>
          <c:idx val="7"/>
          <c:order val="6"/>
          <c:tx>
            <c:strRef>
              <c:f>'Area graph receptor'!$AA$2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12700">
              <a:noFill/>
            </a:ln>
            <a:effectLst/>
          </c:spPr>
          <c:cat>
            <c:numRef>
              <c:f>'Area graph receptor'!$T$3:$T$24</c:f>
              <c:numCache>
                <c:formatCode>0.0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47.241152640402042</c:v>
                </c:pt>
                <c:pt idx="8">
                  <c:v>47.241152640402042</c:v>
                </c:pt>
                <c:pt idx="9">
                  <c:v>47.241152640402042</c:v>
                </c:pt>
                <c:pt idx="10">
                  <c:v>77.751889178731858</c:v>
                </c:pt>
                <c:pt idx="11">
                  <c:v>77.751889178731858</c:v>
                </c:pt>
                <c:pt idx="12">
                  <c:v>77.751889178731858</c:v>
                </c:pt>
                <c:pt idx="13">
                  <c:v>83.14873464393888</c:v>
                </c:pt>
                <c:pt idx="14">
                  <c:v>83.14873464393888</c:v>
                </c:pt>
                <c:pt idx="15">
                  <c:v>83.14873464393888</c:v>
                </c:pt>
                <c:pt idx="16">
                  <c:v>95.152057205664988</c:v>
                </c:pt>
                <c:pt idx="17">
                  <c:v>95.152057205664988</c:v>
                </c:pt>
                <c:pt idx="18">
                  <c:v>95.152057205664988</c:v>
                </c:pt>
                <c:pt idx="19">
                  <c:v>100.00000000000001</c:v>
                </c:pt>
                <c:pt idx="20">
                  <c:v>100.00000000000001</c:v>
                </c:pt>
                <c:pt idx="21">
                  <c:v>100.00000000000001</c:v>
                </c:pt>
              </c:numCache>
            </c:numRef>
          </c:cat>
          <c:val>
            <c:numRef>
              <c:f>'Area graph receptor'!$AA$3:$AA$24</c:f>
              <c:numCache>
                <c:formatCode>0.00E+00</c:formatCode>
                <c:ptCount val="22"/>
                <c:pt idx="0">
                  <c:v>1.2219433614669211E-2</c:v>
                </c:pt>
                <c:pt idx="1">
                  <c:v>1.2219433614669211E-2</c:v>
                </c:pt>
                <c:pt idx="2">
                  <c:v>0</c:v>
                </c:pt>
                <c:pt idx="3">
                  <c:v>7.7900100133066448E-3</c:v>
                </c:pt>
                <c:pt idx="4">
                  <c:v>7.7900100133066448E-3</c:v>
                </c:pt>
                <c:pt idx="5">
                  <c:v>0</c:v>
                </c:pt>
                <c:pt idx="6">
                  <c:v>1.4383643155628264E-3</c:v>
                </c:pt>
                <c:pt idx="7">
                  <c:v>1.4383643155628264E-3</c:v>
                </c:pt>
                <c:pt idx="8">
                  <c:v>0</c:v>
                </c:pt>
                <c:pt idx="9">
                  <c:v>1.7738038282338227E-3</c:v>
                </c:pt>
                <c:pt idx="10">
                  <c:v>1.7738038282338227E-3</c:v>
                </c:pt>
                <c:pt idx="11">
                  <c:v>0</c:v>
                </c:pt>
                <c:pt idx="12">
                  <c:v>1.8436824312347343E-3</c:v>
                </c:pt>
                <c:pt idx="13">
                  <c:v>1.8436824312347343E-3</c:v>
                </c:pt>
                <c:pt idx="14">
                  <c:v>0</c:v>
                </c:pt>
                <c:pt idx="15">
                  <c:v>4.1273836802855154E-4</c:v>
                </c:pt>
                <c:pt idx="16">
                  <c:v>4.1273836802855154E-4</c:v>
                </c:pt>
                <c:pt idx="17">
                  <c:v>0</c:v>
                </c:pt>
                <c:pt idx="18">
                  <c:v>-2.8349561325424744E-4</c:v>
                </c:pt>
                <c:pt idx="19">
                  <c:v>-2.8349561325424744E-4</c:v>
                </c:pt>
                <c:pt idx="20">
                  <c:v>0</c:v>
                </c:pt>
                <c:pt idx="21">
                  <c:v>-2.8349561325424744E-4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29-462C-BCC3-608C9FBA5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99296"/>
        <c:axId val="270601216"/>
      </c:areaChart>
      <c:scatterChart>
        <c:scatterStyle val="lineMarker"/>
        <c:varyColors val="0"/>
        <c:ser>
          <c:idx val="2"/>
          <c:order val="7"/>
          <c:tx>
            <c:strRef>
              <c:f>'Area graph receptor'!$AH$2</c:f>
              <c:strCache>
                <c:ptCount val="1"/>
                <c:pt idx="0">
                  <c:v>label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468071538799474E-2"/>
                  <c:y val="-0.12891341893717143"/>
                </c:manualLayout>
              </c:layout>
              <c:tx>
                <c:strRef>
                  <c:f>'Area graph receptor'!$AH$3</c:f>
                  <c:strCache>
                    <c:ptCount val="1"/>
                    <c:pt idx="0">
                      <c:v>Sub-Saharan Africa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4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{89DB50BB-2C62-49E8-A580-53F7413523A0}</c15:txfldGUID>
                      <c15:f>'Area graph receptor'!$AH$3</c15:f>
                      <c15:dlblFieldTableCache>
                        <c:ptCount val="1"/>
                        <c:pt idx="0">
                          <c:v>Sub-Saharan Africa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8829-462C-BCC3-608C9FBA5A03}"/>
                </c:ext>
              </c:extLst>
            </c:dLbl>
            <c:dLbl>
              <c:idx val="1"/>
              <c:layout>
                <c:manualLayout>
                  <c:x val="-3.6163490061805088E-2"/>
                  <c:y val="-6.4201338639343158E-2"/>
                </c:manualLayout>
              </c:layout>
              <c:tx>
                <c:strRef>
                  <c:f>'Area graph receptor'!$AH$4</c:f>
                  <c:strCache>
                    <c:ptCount val="1"/>
                    <c:pt idx="0">
                      <c:v>South Asia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6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{305A62DA-2529-4497-BE45-B7102C652FE7}</c15:txfldGUID>
                      <c15:f>'Area graph receptor'!$AH$4</c15:f>
                      <c15:dlblFieldTableCache>
                        <c:ptCount val="1"/>
                        <c:pt idx="0">
                          <c:v>South Asia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8829-462C-BCC3-608C9FBA5A03}"/>
                </c:ext>
              </c:extLst>
            </c:dLbl>
            <c:dLbl>
              <c:idx val="2"/>
              <c:layout>
                <c:manualLayout>
                  <c:x val="-0.10257714881812889"/>
                  <c:y val="-5.0026332710633455E-2"/>
                </c:manualLayout>
              </c:layout>
              <c:tx>
                <c:strRef>
                  <c:f>'Area graph receptor'!$AH$5</c:f>
                  <c:strCache>
                    <c:ptCount val="1"/>
                    <c:pt idx="0">
                      <c:v>Latin America &amp; Caribbean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{14295ED8-F25F-4B3A-ADB4-3018718DB8A6}</c15:txfldGUID>
                      <c15:f>'Area graph receptor'!$AH$5</c15:f>
                      <c15:dlblFieldTableCache>
                        <c:ptCount val="1"/>
                        <c:pt idx="0">
                          <c:v>Latin America &amp; Caribbean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8829-462C-BCC3-608C9FBA5A03}"/>
                </c:ext>
              </c:extLst>
            </c:dLbl>
            <c:dLbl>
              <c:idx val="3"/>
              <c:layout>
                <c:manualLayout>
                  <c:x val="-5.20454218595321E-2"/>
                  <c:y val="-8.8104390461912443E-2"/>
                </c:manualLayout>
              </c:layout>
              <c:tx>
                <c:strRef>
                  <c:f>'Area graph receptor'!$AH$6</c:f>
                  <c:strCache>
                    <c:ptCount val="1"/>
                    <c:pt idx="0">
                      <c:v>East Asia &amp; Pacific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{9587CBA7-7A95-4F58-9C69-9A9D7C6BE5BD}</c15:txfldGUID>
                      <c15:f>'Area graph receptor'!$AH$6</c15:f>
                      <c15:dlblFieldTableCache>
                        <c:ptCount val="1"/>
                        <c:pt idx="0">
                          <c:v>East Asia &amp; Pacific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8829-462C-BCC3-608C9FBA5A03}"/>
                </c:ext>
              </c:extLst>
            </c:dLbl>
            <c:dLbl>
              <c:idx val="4"/>
              <c:layout>
                <c:manualLayout>
                  <c:x val="-7.614189506578202E-2"/>
                  <c:y val="-6.4201338639343158E-2"/>
                </c:manualLayout>
              </c:layout>
              <c:tx>
                <c:strRef>
                  <c:f>'Area graph receptor'!$AH$7</c:f>
                  <c:strCache>
                    <c:ptCount val="1"/>
                    <c:pt idx="0">
                      <c:v>Middle East &amp; North Africa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2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{467D814C-1944-4CBD-8D07-7EDFEA59A238}</c15:txfldGUID>
                      <c15:f>'Area graph receptor'!$AH$7</c15:f>
                      <c15:dlblFieldTableCache>
                        <c:ptCount val="1"/>
                        <c:pt idx="0">
                          <c:v>Middle East &amp; North Africa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829-462C-BCC3-608C9FBA5A03}"/>
                </c:ext>
              </c:extLst>
            </c:dLbl>
            <c:dLbl>
              <c:idx val="5"/>
              <c:layout>
                <c:manualLayout>
                  <c:x val="-5.85467322819627E-2"/>
                  <c:y val="-0.15764054121847731"/>
                </c:manualLayout>
              </c:layout>
              <c:tx>
                <c:strRef>
                  <c:f>'Area graph receptor'!$AH$8</c:f>
                  <c:strCache>
                    <c:ptCount val="1"/>
                    <c:pt idx="0">
                      <c:v>Europe &amp; Central Asia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3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{C3BD18C1-5004-4590-BB6A-3E968ECD9DA2}</c15:txfldGUID>
                      <c15:f>'Area graph receptor'!$AH$8</c15:f>
                      <c15:dlblFieldTableCache>
                        <c:ptCount val="1"/>
                        <c:pt idx="0">
                          <c:v>Europe &amp; Central Asia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8829-462C-BCC3-608C9FBA5A03}"/>
                </c:ext>
              </c:extLst>
            </c:dLbl>
            <c:dLbl>
              <c:idx val="6"/>
              <c:tx>
                <c:strRef>
                  <c:f>'Area graph receptor'!$AH$9</c:f>
                  <c:strCache>
                    <c:ptCount val="1"/>
                    <c:pt idx="0">
                      <c:v>North America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5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{BACE1BC5-FBA3-4A57-B181-6F81FBCC8DF1}</c15:txfldGUID>
                      <c15:f>'Area graph receptor'!$AH$9</c15:f>
                      <c15:dlblFieldTableCache>
                        <c:ptCount val="1"/>
                        <c:pt idx="0">
                          <c:v>North America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8829-462C-BCC3-608C9FBA5A03}"/>
                </c:ext>
              </c:extLst>
            </c:dLbl>
            <c:dLbl>
              <c:idx val="7"/>
              <c:tx>
                <c:strRef>
                  <c:f>'Area graph receptor'!$AH$10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{CFE686C4-AC1F-476E-B273-7F183A01C915}</c15:txfldGUID>
                      <c15:f>'Area graph receptor'!$AH$10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8829-462C-BCC3-608C9FBA5A03}"/>
                </c:ext>
              </c:extLst>
            </c:dLbl>
            <c:dLbl>
              <c:idx val="8"/>
              <c:tx>
                <c:strRef>
                  <c:f>'Area graph receptor'!$AH$11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{80E9C6F9-D366-454D-A177-47FAF534B40D}</c15:txfldGUID>
                      <c15:f>'Area graph receptor'!$AH$11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8829-462C-BCC3-608C9FBA5A03}"/>
                </c:ext>
              </c:extLst>
            </c:dLbl>
            <c:dLbl>
              <c:idx val="9"/>
              <c:tx>
                <c:strRef>
                  <c:f>'Area graph receptor'!$AH$12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{98340E8A-E513-4490-88DB-728B09D54FAB}</c15:txfldGUID>
                      <c15:f>'Area graph receptor'!$AH$12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8829-462C-BCC3-608C9FBA5A03}"/>
                </c:ext>
              </c:extLst>
            </c:dLbl>
            <c:dLbl>
              <c:idx val="10"/>
              <c:tx>
                <c:strRef>
                  <c:f>'Area graph receptor'!$AH$13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{FD8ABBF1-40E7-420A-A6A0-9756FDDA663B}</c15:txfldGUID>
                      <c15:f>'Area graph receptor'!$AH$13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8829-462C-BCC3-608C9FBA5A03}"/>
                </c:ext>
              </c:extLst>
            </c:dLbl>
            <c:dLbl>
              <c:idx val="11"/>
              <c:tx>
                <c:strRef>
                  <c:f>'Area graph receptor'!$AH$14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{51BE2CA8-24A0-4D7F-B374-2658AAD627E0}</c15:txfldGUID>
                      <c15:f>'Area graph receptor'!$AH$14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8829-462C-BCC3-608C9FBA5A03}"/>
                </c:ext>
              </c:extLst>
            </c:dLbl>
            <c:dLbl>
              <c:idx val="12"/>
              <c:tx>
                <c:strRef>
                  <c:f>'Area graph receptor'!$AH$15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{2E39A22E-9C25-4EDD-A3AB-5194776B3CF8}</c15:txfldGUID>
                      <c15:f>'Area graph receptor'!$AH$15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8829-462C-BCC3-608C9FBA5A03}"/>
                </c:ext>
              </c:extLst>
            </c:dLbl>
            <c:dLbl>
              <c:idx val="13"/>
              <c:tx>
                <c:strRef>
                  <c:f>'Area graph receptor'!$AH$16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{B61A9172-6E73-44E5-9CC0-1CBCDCE399ED}</c15:txfldGUID>
                      <c15:f>'Area graph receptor'!$AH$16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8829-462C-BCC3-608C9FBA5A03}"/>
                </c:ext>
              </c:extLst>
            </c:dLbl>
            <c:dLbl>
              <c:idx val="14"/>
              <c:tx>
                <c:strRef>
                  <c:f>'Area graph receptor'!$AH$17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{E0168A3C-66EC-40D3-B9A1-D30539D646F1}</c15:txfldGUID>
                      <c15:f>'Area graph receptor'!$AH$17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8829-462C-BCC3-608C9FBA5A03}"/>
                </c:ext>
              </c:extLst>
            </c:dLbl>
            <c:dLbl>
              <c:idx val="15"/>
              <c:tx>
                <c:strRef>
                  <c:f>'Area graph receptor'!$AH$18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{90ED9A93-3D4F-4BC1-955F-ED474B6BDF26}</c15:txfldGUID>
                      <c15:f>'Area graph receptor'!$AH$18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8829-462C-BCC3-608C9FBA5A03}"/>
                </c:ext>
              </c:extLst>
            </c:dLbl>
            <c:dLbl>
              <c:idx val="16"/>
              <c:tx>
                <c:strRef>
                  <c:f>'Area graph receptor'!$AH$19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{E32F440E-5151-468F-B161-FFA5169C9043}</c15:txfldGUID>
                      <c15:f>'Area graph receptor'!$AH$19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8829-462C-BCC3-608C9FBA5A03}"/>
                </c:ext>
              </c:extLst>
            </c:dLbl>
            <c:dLbl>
              <c:idx val="17"/>
              <c:tx>
                <c:strRef>
                  <c:f>'Area graph receptor'!$AH$20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{FF9F9663-F4AC-430D-BFEC-53FF2015398A}</c15:txfldGUID>
                      <c15:f>'Area graph receptor'!$AH$20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8829-462C-BCC3-608C9FBA5A03}"/>
                </c:ext>
              </c:extLst>
            </c:dLbl>
            <c:dLbl>
              <c:idx val="18"/>
              <c:tx>
                <c:strRef>
                  <c:f>'Area graph receptor'!$AH$21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{963400C1-0FB8-4891-A38C-2533EE5F3E3B}</c15:txfldGUID>
                      <c15:f>'Area graph receptor'!$AH$21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8829-462C-BCC3-608C9FBA5A03}"/>
                </c:ext>
              </c:extLst>
            </c:dLbl>
            <c:dLbl>
              <c:idx val="19"/>
              <c:tx>
                <c:strRef>
                  <c:f>'Area graph receptor'!$AH$22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{120DEB7E-4B12-4F5C-AAA2-63A212FBE574}</c15:txfldGUID>
                      <c15:f>'Area graph receptor'!$AH$22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8829-462C-BCC3-608C9FBA5A03}"/>
                </c:ext>
              </c:extLst>
            </c:dLbl>
            <c:dLbl>
              <c:idx val="20"/>
              <c:tx>
                <c:strRef>
                  <c:f>'Area graph receptor'!$AH$23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{196EAC8F-0B2A-4FD0-9045-2419C846418C}</c15:txfldGUID>
                      <c15:f>'Area graph receptor'!$AH$23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8829-462C-BCC3-608C9FBA5A03}"/>
                </c:ext>
              </c:extLst>
            </c:dLbl>
            <c:dLbl>
              <c:idx val="21"/>
              <c:tx>
                <c:strRef>
                  <c:f>'Area graph receptor'!$AH$24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{718AB120-7C8F-42CA-8AE1-A1D8F83944CE}</c15:txfldGUID>
                      <c15:f>'Area graph receptor'!$AH$24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8829-462C-BCC3-608C9FBA5A03}"/>
                </c:ext>
              </c:extLst>
            </c:dLbl>
            <c:dLbl>
              <c:idx val="22"/>
              <c:tx>
                <c:strRef>
                  <c:f>'Area graph receptor'!$AH$25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{37ED4C5A-46D7-43CB-8CA5-88FBDE43C13D}</c15:txfldGUID>
                      <c15:f>'Area graph receptor'!$AH$25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8829-462C-BCC3-608C9FBA5A03}"/>
                </c:ext>
              </c:extLst>
            </c:dLbl>
            <c:dLbl>
              <c:idx val="23"/>
              <c:tx>
                <c:strRef>
                  <c:f>'Area graph receptor'!$AH$26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{169A1D0E-C62D-4C8F-8BCF-1584309F2D56}</c15:txfldGUID>
                      <c15:f>'Area graph receptor'!$AH$26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8829-462C-BCC3-608C9FBA5A03}"/>
                </c:ext>
              </c:extLst>
            </c:dLbl>
            <c:dLbl>
              <c:idx val="24"/>
              <c:tx>
                <c:strRef>
                  <c:f>'Area graph receptor'!$AH$27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{B418A6E8-D838-4ED7-9C69-8C303A2F4BB2}</c15:txfldGUID>
                      <c15:f>'Area graph receptor'!$AH$27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8829-462C-BCC3-608C9FBA5A03}"/>
                </c:ext>
              </c:extLst>
            </c:dLbl>
            <c:dLbl>
              <c:idx val="25"/>
              <c:tx>
                <c:strRef>
                  <c:f>'Area graph receptor'!$AH$28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{C09E3BF4-A678-4277-9A06-D5626F7B1948}</c15:txfldGUID>
                      <c15:f>'Area graph receptor'!$AH$28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8829-462C-BCC3-608C9FBA5A03}"/>
                </c:ext>
              </c:extLst>
            </c:dLbl>
            <c:dLbl>
              <c:idx val="26"/>
              <c:tx>
                <c:strRef>
                  <c:f>'Area graph receptor'!$AH$29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{74D97E28-2B50-4EC8-A0C1-FB24598171E1}</c15:txfldGUID>
                      <c15:f>'Area graph receptor'!$AH$29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8829-462C-BCC3-608C9FBA5A03}"/>
                </c:ext>
              </c:extLst>
            </c:dLbl>
            <c:dLbl>
              <c:idx val="27"/>
              <c:tx>
                <c:strRef>
                  <c:f>'Area graph receptor'!$AH$30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{6B13BB3E-D877-4D30-B901-5AAF80146D62}</c15:txfldGUID>
                      <c15:f>'Area graph receptor'!$AH$30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8829-462C-BCC3-608C9FBA5A03}"/>
                </c:ext>
              </c:extLst>
            </c:dLbl>
            <c:dLbl>
              <c:idx val="28"/>
              <c:tx>
                <c:strRef>
                  <c:f>'Area graph receptor'!$AH$31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{609D7224-F00A-4153-A511-E436803EE53C}</c15:txfldGUID>
                      <c15:f>'Area graph receptor'!$AH$31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8829-462C-BCC3-608C9FBA5A03}"/>
                </c:ext>
              </c:extLst>
            </c:dLbl>
            <c:dLbl>
              <c:idx val="29"/>
              <c:tx>
                <c:strRef>
                  <c:f>'Area graph receptor'!$AH$32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{D64071DB-3414-4CF9-9D34-35C24394F3C0}</c15:txfldGUID>
                      <c15:f>'Area graph receptor'!$AH$32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8829-462C-BCC3-608C9FBA5A03}"/>
                </c:ext>
              </c:extLst>
            </c:dLbl>
            <c:dLbl>
              <c:idx val="30"/>
              <c:tx>
                <c:strRef>
                  <c:f>'Area graph receptor'!$AH$33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{906B1DF8-DA11-4437-A8D8-BCBA89561851}</c15:txfldGUID>
                      <c15:f>'Area graph receptor'!$AH$33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8829-462C-BCC3-608C9FBA5A03}"/>
                </c:ext>
              </c:extLst>
            </c:dLbl>
            <c:dLbl>
              <c:idx val="31"/>
              <c:tx>
                <c:strRef>
                  <c:f>'Area graph receptor'!$AH$34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{35E421A2-E90E-422E-834F-038090CED435}</c15:txfldGUID>
                      <c15:f>'Area graph receptor'!$AH$34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8829-462C-BCC3-608C9FBA5A03}"/>
                </c:ext>
              </c:extLst>
            </c:dLbl>
            <c:dLbl>
              <c:idx val="32"/>
              <c:tx>
                <c:strRef>
                  <c:f>'Area graph receptor'!$AH$35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{CBA56474-9E79-4DE4-A7B4-FC06C02C04D4}</c15:txfldGUID>
                      <c15:f>'Area graph receptor'!$AH$35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8829-462C-BCC3-608C9FBA5A03}"/>
                </c:ext>
              </c:extLst>
            </c:dLbl>
            <c:dLbl>
              <c:idx val="33"/>
              <c:tx>
                <c:strRef>
                  <c:f>'Area graph receptor'!$AH$36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{21F35F40-EC9F-472C-8C3F-B7FBC97CC51D}</c15:txfldGUID>
                      <c15:f>'Area graph receptor'!$AH$36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8829-462C-BCC3-608C9FBA5A03}"/>
                </c:ext>
              </c:extLst>
            </c:dLbl>
            <c:dLbl>
              <c:idx val="34"/>
              <c:tx>
                <c:strRef>
                  <c:f>'Area graph receptor'!$AH$37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{74D44A78-3B7F-4CD2-A509-2C244CF3D226}</c15:txfldGUID>
                      <c15:f>'Area graph receptor'!$AH$37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8829-462C-BCC3-608C9FBA5A03}"/>
                </c:ext>
              </c:extLst>
            </c:dLbl>
            <c:dLbl>
              <c:idx val="35"/>
              <c:tx>
                <c:strRef>
                  <c:f>'Area graph receptor'!$AH$38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{14A7EA47-55EA-4FCB-837C-D55333A3298D}</c15:txfldGUID>
                      <c15:f>'Area graph receptor'!$AH$38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8829-462C-BCC3-608C9FBA5A03}"/>
                </c:ext>
              </c:extLst>
            </c:dLbl>
            <c:dLbl>
              <c:idx val="36"/>
              <c:tx>
                <c:strRef>
                  <c:f>'Area graph receptor'!$AH$39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{BC59F1D7-EA09-44BC-B27D-265B2BA46A21}</c15:txfldGUID>
                      <c15:f>'Area graph receptor'!$AH$39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8829-462C-BCC3-608C9FBA5A03}"/>
                </c:ext>
              </c:extLst>
            </c:dLbl>
            <c:dLbl>
              <c:idx val="37"/>
              <c:tx>
                <c:strRef>
                  <c:f>'Area graph receptor'!$AH$40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{0C67A8D1-C927-4F74-9BF8-DC4BC8336B24}</c15:txfldGUID>
                      <c15:f>'Area graph receptor'!$AH$40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8829-462C-BCC3-608C9FBA5A03}"/>
                </c:ext>
              </c:extLst>
            </c:dLbl>
            <c:dLbl>
              <c:idx val="38"/>
              <c:tx>
                <c:strRef>
                  <c:f>'Area graph receptor'!$AH$41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{346AE7AA-B425-4F9E-811E-FB5A5328F471}</c15:txfldGUID>
                      <c15:f>'Area graph receptor'!$AH$41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8829-462C-BCC3-608C9FBA5A03}"/>
                </c:ext>
              </c:extLst>
            </c:dLbl>
            <c:dLbl>
              <c:idx val="39"/>
              <c:tx>
                <c:strRef>
                  <c:f>'Area graph receptor'!$AH$42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{00183CB7-BAB7-4D6C-9099-BA419F446551}</c15:txfldGUID>
                      <c15:f>'Area graph receptor'!$AH$42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8829-462C-BCC3-608C9FBA5A03}"/>
                </c:ext>
              </c:extLst>
            </c:dLbl>
            <c:dLbl>
              <c:idx val="40"/>
              <c:tx>
                <c:strRef>
                  <c:f>'Area graph receptor'!$AH$43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{C374A5F1-0106-41FD-B7BE-00B56BC64C23}</c15:txfldGUID>
                      <c15:f>'Area graph receptor'!$AH$43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8829-462C-BCC3-608C9FBA5A03}"/>
                </c:ext>
              </c:extLst>
            </c:dLbl>
            <c:dLbl>
              <c:idx val="41"/>
              <c:tx>
                <c:strRef>
                  <c:f>'Area graph receptor'!$AH$44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{D39E878C-8B40-40F1-B1B3-4C9FB5D732DA}</c15:txfldGUID>
                      <c15:f>'Area graph receptor'!$AH$44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8829-462C-BCC3-608C9FBA5A03}"/>
                </c:ext>
              </c:extLst>
            </c:dLbl>
            <c:dLbl>
              <c:idx val="42"/>
              <c:tx>
                <c:strRef>
                  <c:f>'Area graph receptor'!$AH$45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{DC4CF788-F9D4-4AFD-AD8D-802212E5B77A}</c15:txfldGUID>
                      <c15:f>'Area graph receptor'!$AH$45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8829-462C-BCC3-608C9FBA5A03}"/>
                </c:ext>
              </c:extLst>
            </c:dLbl>
            <c:dLbl>
              <c:idx val="43"/>
              <c:tx>
                <c:strRef>
                  <c:f>'Area graph receptor'!$AH$46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{DC8883EE-F087-4081-BD61-47A661B95443}</c15:txfldGUID>
                      <c15:f>'Area graph receptor'!$AH$46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8829-462C-BCC3-608C9FBA5A03}"/>
                </c:ext>
              </c:extLst>
            </c:dLbl>
            <c:dLbl>
              <c:idx val="44"/>
              <c:tx>
                <c:strRef>
                  <c:f>'Area graph receptor'!$AH$47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{0CBB248B-2FC7-410D-BADE-F65B5AA1541E}</c15:txfldGUID>
                      <c15:f>'Area graph receptor'!$AH$47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8829-462C-BCC3-608C9FBA5A03}"/>
                </c:ext>
              </c:extLst>
            </c:dLbl>
            <c:dLbl>
              <c:idx val="45"/>
              <c:tx>
                <c:strRef>
                  <c:f>'Area graph receptor'!$AH$48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{F3E72876-3148-4B0B-86C2-10B5DCA50DE0}</c15:txfldGUID>
                      <c15:f>'Area graph receptor'!$AH$48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8829-462C-BCC3-608C9FBA5A03}"/>
                </c:ext>
              </c:extLst>
            </c:dLbl>
            <c:dLbl>
              <c:idx val="46"/>
              <c:tx>
                <c:strRef>
                  <c:f>'Area graph receptor'!$AH$49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{9CCF5900-EEBF-41B9-8B80-78900301A40C}</c15:txfldGUID>
                      <c15:f>'Area graph receptor'!$AH$49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8829-462C-BCC3-608C9FBA5A03}"/>
                </c:ext>
              </c:extLst>
            </c:dLbl>
            <c:dLbl>
              <c:idx val="47"/>
              <c:tx>
                <c:strRef>
                  <c:f>'Area graph receptor'!$AH$50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{0666A4D9-F18D-47CC-B0DB-D92F3AA8D07C}</c15:txfldGUID>
                      <c15:f>'Area graph receptor'!$AH$50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8829-462C-BCC3-608C9FBA5A03}"/>
                </c:ext>
              </c:extLst>
            </c:dLbl>
            <c:dLbl>
              <c:idx val="48"/>
              <c:tx>
                <c:strRef>
                  <c:f>'Area graph receptor'!$AH$51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{51AA2BD0-854E-4859-9DE7-017C1F5456C9}</c15:txfldGUID>
                      <c15:f>'Area graph receptor'!$AH$51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8829-462C-BCC3-608C9FBA5A03}"/>
                </c:ext>
              </c:extLst>
            </c:dLbl>
            <c:dLbl>
              <c:idx val="49"/>
              <c:tx>
                <c:strRef>
                  <c:f>'Area graph receptor'!$AH$52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{A5536E26-9B19-4B4F-BF95-0BB742531B23}</c15:txfldGUID>
                      <c15:f>'Area graph receptor'!$AH$52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8829-462C-BCC3-608C9FBA5A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'Area graph receptor'!$AF$3:$AF$52</c:f>
              <c:numCache>
                <c:formatCode>0.00</c:formatCode>
                <c:ptCount val="50"/>
                <c:pt idx="0">
                  <c:v>7.1632319510539961</c:v>
                </c:pt>
                <c:pt idx="1">
                  <c:v>26.731209690162459</c:v>
                </c:pt>
                <c:pt idx="2">
                  <c:v>43.188554059309482</c:v>
                </c:pt>
                <c:pt idx="3">
                  <c:v>62.496520909566954</c:v>
                </c:pt>
                <c:pt idx="4">
                  <c:v>80.450311911335376</c:v>
                </c:pt>
                <c:pt idx="5">
                  <c:v>89.150395924801927</c:v>
                </c:pt>
                <c:pt idx="6">
                  <c:v>97.576028602832508</c:v>
                </c:pt>
              </c:numCache>
            </c:numRef>
          </c:xVal>
          <c:yVal>
            <c:numRef>
              <c:f>'Area graph receptor'!$AG$3:$AG$52</c:f>
              <c:numCache>
                <c:formatCode>0.00E+00</c:formatCode>
                <c:ptCount val="50"/>
                <c:pt idx="0">
                  <c:v>6.7477899819756257E-2</c:v>
                </c:pt>
                <c:pt idx="1">
                  <c:v>4.3017829782369475E-2</c:v>
                </c:pt>
                <c:pt idx="2">
                  <c:v>7.9429052319859184E-3</c:v>
                </c:pt>
                <c:pt idx="3">
                  <c:v>9.7952622679477758E-3</c:v>
                </c:pt>
                <c:pt idx="4">
                  <c:v>1.0181144422680337E-2</c:v>
                </c:pt>
                <c:pt idx="5">
                  <c:v>2.279215152506414E-3</c:v>
                </c:pt>
                <c:pt idx="6">
                  <c:v>-1.5655135249104857E-3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8829-462C-BCC3-608C9FBA5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99296"/>
        <c:axId val="270601216"/>
      </c:scatterChart>
      <c:dateAx>
        <c:axId val="270599296"/>
        <c:scaling>
          <c:orientation val="minMax"/>
        </c:scaling>
        <c:delete val="0"/>
        <c:axPos val="b"/>
        <c:title>
          <c:tx>
            <c:strRef>
              <c:f>'Area graph receptor'!$C$2</c:f>
              <c:strCache>
                <c:ptCount val="1"/>
                <c:pt idx="0">
                  <c:v>population fraction %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01216"/>
        <c:crosses val="autoZero"/>
        <c:auto val="0"/>
        <c:lblOffset val="100"/>
        <c:baseTimeUnit val="days"/>
        <c:majorUnit val="10"/>
        <c:majorTimeUnit val="days"/>
        <c:minorUnit val="5"/>
        <c:minorTimeUnit val="days"/>
      </c:dateAx>
      <c:valAx>
        <c:axId val="270601216"/>
        <c:scaling>
          <c:orientation val="minMax"/>
        </c:scaling>
        <c:delete val="0"/>
        <c:axPos val="l"/>
        <c:title>
          <c:tx>
            <c:strRef>
              <c:f>'Area graph receptor'!$K$2</c:f>
              <c:strCache>
                <c:ptCount val="1"/>
                <c:pt idx="0">
                  <c:v>DALY per capita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599296"/>
        <c:crossesAt val="0"/>
        <c:crossBetween val="between"/>
      </c:valAx>
      <c:spPr>
        <a:noFill/>
        <a:ln w="25400">
          <a:noFill/>
        </a:ln>
        <a:effectLst/>
      </c:spPr>
    </c:plotArea>
    <c:legend>
      <c:legendPos val="t"/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757933</xdr:colOff>
      <xdr:row>43</xdr:row>
      <xdr:rowOff>59054</xdr:rowOff>
    </xdr:from>
    <xdr:to>
      <xdr:col>10</xdr:col>
      <xdr:colOff>532913</xdr:colOff>
      <xdr:row>76</xdr:row>
      <xdr:rowOff>102552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771A88-AE20-4343-8C62-C1FCCD29A1A0}"/>
            </a:ext>
          </a:extLst>
        </xdr:cNvPr>
        <xdr:cNvSpPr txBox="1"/>
      </xdr:nvSpPr>
      <xdr:spPr>
        <a:xfrm>
          <a:off x="3278884" y="8226742"/>
          <a:ext cx="9198379" cy="61712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/>
            <a:t>based on:</a:t>
          </a:r>
        </a:p>
        <a:p>
          <a:r>
            <a:rPr lang="en-US" sz="1200"/>
            <a:t>http://andypope.info/charts/colwidth2.htm</a:t>
          </a:r>
        </a:p>
        <a:p>
          <a:r>
            <a:rPr lang="en-US" sz="1200"/>
            <a:t>"stacked" example</a:t>
          </a:r>
        </a:p>
        <a:p>
          <a:endParaRPr lang="en-US" sz="1200"/>
        </a:p>
        <a:p>
          <a:r>
            <a:rPr lang="en-US" sz="1200"/>
            <a:t>As with the other sheets in the workbook, this shows</a:t>
          </a:r>
          <a:r>
            <a:rPr lang="en-US" sz="1200" baseline="0"/>
            <a:t> two graphs:</a:t>
          </a:r>
        </a:p>
        <a:p>
          <a:r>
            <a:rPr lang="en-US" sz="1200" baseline="0"/>
            <a:t>top = intermediate</a:t>
          </a:r>
        </a:p>
        <a:p>
          <a:r>
            <a:rPr lang="en-US" sz="1200" baseline="0"/>
            <a:t>bottom = final (with series markers hidden)</a:t>
          </a:r>
          <a:endParaRPr lang="en-US" sz="1200"/>
        </a:p>
        <a:p>
          <a:endParaRPr lang="en-US" sz="1200"/>
        </a:p>
        <a:p>
          <a:r>
            <a:rPr lang="en-US" sz="1200"/>
            <a:t>this</a:t>
          </a:r>
          <a:r>
            <a:rPr lang="en-US" sz="1200" baseline="0"/>
            <a:t> graph requires the following (counter-intuitive) setup:</a:t>
          </a:r>
          <a:endParaRPr lang="en-US" sz="1200"/>
        </a:p>
        <a:p>
          <a:r>
            <a:rPr lang="en-US" sz="1200"/>
            <a:t>the source data for the area graph</a:t>
          </a:r>
          <a:r>
            <a:rPr lang="en-US" sz="1200" baseline="0"/>
            <a:t> must be in groups of 3 (except for 1st and last row).  Each entry must 3 rows with :</a:t>
          </a:r>
        </a:p>
        <a:p>
          <a:r>
            <a:rPr lang="en-US" sz="1200" baseline="0"/>
            <a:t>row 1: previous entry's value</a:t>
          </a:r>
        </a:p>
        <a:p>
          <a:r>
            <a:rPr lang="en-US" sz="1200" baseline="0"/>
            <a:t>row 2: 0</a:t>
          </a:r>
        </a:p>
        <a:p>
          <a:r>
            <a:rPr lang="en-US" sz="1200" baseline="0"/>
            <a:t>row 3: this entry's value</a:t>
          </a:r>
        </a:p>
        <a:p>
          <a:endParaRPr lang="en-US" sz="1200" baseline="0"/>
        </a:p>
        <a:p>
          <a:r>
            <a:rPr lang="en-US" sz="1200" baseline="0"/>
            <a:t>also, the x-axis is formatted as date</a:t>
          </a:r>
        </a:p>
        <a:p>
          <a:endParaRPr lang="en-US" sz="1200" baseline="0"/>
        </a:p>
        <a:p>
          <a:r>
            <a:rPr lang="en-US" sz="1200" baseline="0"/>
            <a:t>sorting:</a:t>
          </a:r>
        </a:p>
        <a:p>
          <a:r>
            <a:rPr lang="en-US" sz="1200" baseline="0"/>
            <a:t>the "mydata" range can be sorted using filters.</a:t>
          </a:r>
        </a:p>
        <a:p>
          <a:endParaRPr lang="en-US" sz="1200" baseline="0"/>
        </a:p>
        <a:p>
          <a:r>
            <a:rPr lang="en-US" sz="1200" baseline="0"/>
            <a:t>top 20 states + 30 others, etc.</a:t>
          </a:r>
        </a:p>
        <a:p>
          <a:r>
            <a:rPr lang="en-US" sz="1200" baseline="0"/>
            <a:t>I do have a good solution here yet.</a:t>
          </a:r>
        </a:p>
        <a:p>
          <a:r>
            <a:rPr lang="en-US" sz="1200" baseline="0"/>
            <a:t>deleting data has been causing crashes, and filtering does remove one set of data, but the data are 3x as long as the labels...</a:t>
          </a:r>
        </a:p>
        <a:p>
          <a:endParaRPr lang="en-US" sz="1200" baseline="0"/>
        </a:p>
        <a:p>
          <a:r>
            <a:rPr lang="en-US" sz="1200" baseline="0"/>
            <a:t>however, it appears that the source data (in the named range "dataSource") can be deleted; if this were linked to another source, then this could be done and undone by dragging formulae.</a:t>
          </a:r>
        </a:p>
        <a:p>
          <a:endParaRPr lang="en-US" sz="12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alternatively, the x-axis range could be reduced, and the range from which the labels draw could be manually reduced to just show, e.g., the top 10.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Andrew Henderson,  henderad@umich.edu</a:t>
          </a:r>
          <a:endParaRPr lang="en-US" sz="12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/>
        </a:p>
        <a:p>
          <a:endParaRPr lang="en-US" sz="1200" baseline="0"/>
        </a:p>
      </xdr:txBody>
    </xdr:sp>
    <xdr:clientData/>
  </xdr:twoCellAnchor>
  <xdr:twoCellAnchor editAs="oneCell">
    <xdr:from>
      <xdr:col>1</xdr:col>
      <xdr:colOff>830384</xdr:colOff>
      <xdr:row>14</xdr:row>
      <xdr:rowOff>169496</xdr:rowOff>
    </xdr:from>
    <xdr:to>
      <xdr:col>15</xdr:col>
      <xdr:colOff>422151</xdr:colOff>
      <xdr:row>47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1DD99A-C46A-44ED-9456-1E718633B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aru\Documents\variable_width_column_template4i_lea_inducers_a.xlsx" TargetMode="External"/><Relationship Id="rId1" Type="http://schemas.openxmlformats.org/officeDocument/2006/relationships/externalLinkPath" Target="file:///C:\Users\learu\Documents\variable_width_column_template4i_lea_inducers_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a\OneDrive\Desktop\New%20folder\Polluters%20emissions,%20EIO_LCA_updated_A_July%202025.xlsx" TargetMode="External"/><Relationship Id="rId1" Type="http://schemas.openxmlformats.org/officeDocument/2006/relationships/externalLinkPath" Target="Polluters%20emissions,%20EIO_LCA_updated_A_Jul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Width_rankImpact"/>
      <sheetName val="VarWidth_rankImpact_log"/>
      <sheetName val="Operational inducer_"/>
      <sheetName val="varWidth_stacked_adjust"/>
    </sheetNames>
    <sheetDataSet>
      <sheetData sheetId="0" refreshError="1"/>
      <sheetData sheetId="1" refreshError="1"/>
      <sheetData sheetId="2">
        <row r="2">
          <cell r="C2" t="str">
            <v>population fraction %</v>
          </cell>
        </row>
      </sheetData>
      <sheetData sheetId="3">
        <row r="2">
          <cell r="F2">
            <v>200</v>
          </cell>
          <cell r="O2" t="str">
            <v>Others</v>
          </cell>
        </row>
        <row r="6">
          <cell r="B6">
            <v>1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>
            <v>50</v>
          </cell>
          <cell r="J6" t="e">
            <v>#REF!</v>
          </cell>
          <cell r="L6">
            <v>20</v>
          </cell>
        </row>
        <row r="7">
          <cell r="B7">
            <v>2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>
            <v>50</v>
          </cell>
          <cell r="J7" t="e">
            <v>#REF!</v>
          </cell>
        </row>
        <row r="8">
          <cell r="B8">
            <v>3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>
            <v>100</v>
          </cell>
          <cell r="J8" t="e">
            <v>#REF!</v>
          </cell>
        </row>
        <row r="9">
          <cell r="B9">
            <v>4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>
            <v>100</v>
          </cell>
          <cell r="J9" t="e">
            <v>#REF!</v>
          </cell>
        </row>
        <row r="10">
          <cell r="B10">
            <v>5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>
            <v>200</v>
          </cell>
          <cell r="J10" t="e">
            <v>#REF!</v>
          </cell>
        </row>
        <row r="11">
          <cell r="B11">
            <v>6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</row>
        <row r="12">
          <cell r="B12">
            <v>7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</row>
        <row r="13">
          <cell r="B13">
            <v>8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</row>
        <row r="14">
          <cell r="B14">
            <v>9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</row>
        <row r="15">
          <cell r="B15">
            <v>10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</row>
        <row r="16">
          <cell r="B16">
            <v>11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</row>
        <row r="17">
          <cell r="B17">
            <v>12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</row>
        <row r="18">
          <cell r="B18">
            <v>13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</row>
        <row r="19">
          <cell r="B19">
            <v>14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</row>
        <row r="20">
          <cell r="B20">
            <v>15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</row>
        <row r="21">
          <cell r="B21">
            <v>16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</row>
        <row r="22">
          <cell r="B22">
            <v>17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</row>
        <row r="23">
          <cell r="B23">
            <v>18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</row>
        <row r="24">
          <cell r="B24">
            <v>19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</row>
        <row r="25">
          <cell r="B25">
            <v>20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</row>
        <row r="26">
          <cell r="B26">
            <v>21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</row>
        <row r="27">
          <cell r="B27">
            <v>22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</row>
        <row r="28">
          <cell r="B28">
            <v>23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</row>
        <row r="29">
          <cell r="B29">
            <v>24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</row>
        <row r="30">
          <cell r="B30">
            <v>25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</row>
        <row r="31">
          <cell r="B31">
            <v>26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</row>
        <row r="32">
          <cell r="B32">
            <v>27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</row>
        <row r="33">
          <cell r="B33">
            <v>28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</row>
        <row r="34">
          <cell r="B34">
            <v>29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</row>
        <row r="35">
          <cell r="B35">
            <v>30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</row>
        <row r="36">
          <cell r="B36">
            <v>31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</row>
        <row r="37">
          <cell r="B37">
            <v>32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</row>
        <row r="38">
          <cell r="B38">
            <v>33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</row>
        <row r="39">
          <cell r="B39">
            <v>34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</row>
        <row r="40">
          <cell r="B40">
            <v>35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</row>
        <row r="41">
          <cell r="B41">
            <v>36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</row>
        <row r="42">
          <cell r="B42">
            <v>37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</row>
        <row r="43">
          <cell r="B43">
            <v>38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</row>
        <row r="44">
          <cell r="B44">
            <v>39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</row>
        <row r="45">
          <cell r="B45">
            <v>40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</row>
        <row r="46">
          <cell r="B46">
            <v>41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</row>
        <row r="47">
          <cell r="B47">
            <v>42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</row>
        <row r="48">
          <cell r="B48">
            <v>43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</row>
        <row r="49">
          <cell r="B49">
            <v>44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</row>
        <row r="50">
          <cell r="B50">
            <v>45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</row>
        <row r="51">
          <cell r="B51">
            <v>46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</row>
        <row r="52">
          <cell r="B52">
            <v>47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</row>
        <row r="53">
          <cell r="B53">
            <v>48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</row>
        <row r="54">
          <cell r="B54">
            <v>49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</row>
        <row r="55">
          <cell r="B55">
            <v>50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ea graph reciever"/>
      <sheetName val="Area graph inducer"/>
      <sheetName val="CBA_RE_matrix"/>
      <sheetName val="Map"/>
      <sheetName val="Sheet5"/>
      <sheetName val="Sheet3"/>
      <sheetName val="Summary of results"/>
      <sheetName val="Top and bottom polluters"/>
      <sheetName val="Average results_and factors 0_5"/>
      <sheetName val="TOP AND BOTTOM RECIEVERS"/>
      <sheetName val="CBA 2019"/>
      <sheetName val="Sheet2"/>
    </sheetNames>
    <sheetDataSet>
      <sheetData sheetId="0" refreshError="1"/>
      <sheetData sheetId="1">
        <row r="2">
          <cell r="C2" t="str">
            <v>population fraction %</v>
          </cell>
        </row>
      </sheetData>
      <sheetData sheetId="2">
        <row r="9">
          <cell r="HA9">
            <v>24.809491576108929</v>
          </cell>
        </row>
        <row r="35">
          <cell r="GO35" t="str">
            <v>South Asia</v>
          </cell>
        </row>
        <row r="36">
          <cell r="GO36" t="str">
            <v>Europe &amp; Central Asia</v>
          </cell>
        </row>
        <row r="37">
          <cell r="GO37" t="str">
            <v>Middle East &amp; North Africa</v>
          </cell>
        </row>
        <row r="38">
          <cell r="GO38" t="str">
            <v>Sub-Saharan Africa</v>
          </cell>
        </row>
        <row r="39">
          <cell r="GO39" t="str">
            <v>Latin America &amp; Caribbean</v>
          </cell>
        </row>
        <row r="40">
          <cell r="GO40" t="str">
            <v>East Asia &amp; Pacific</v>
          </cell>
        </row>
        <row r="41">
          <cell r="GO41" t="str">
            <v>North America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22F7-7A1D-41ED-94A6-B992F2A20B6C}">
  <dimension ref="B1:AH153"/>
  <sheetViews>
    <sheetView tabSelected="1" zoomScale="44" zoomScaleNormal="44" workbookViewId="0">
      <pane ySplit="2" topLeftCell="A3" activePane="bottomLeft" state="frozen"/>
      <selection pane="bottomLeft" activeCell="C3" sqref="C3:L10"/>
    </sheetView>
  </sheetViews>
  <sheetFormatPr defaultRowHeight="14.5" x14ac:dyDescent="0.35"/>
  <cols>
    <col min="2" max="2" width="27.36328125" customWidth="1"/>
    <col min="3" max="3" width="16.08984375" customWidth="1"/>
    <col min="4" max="12" width="17" customWidth="1"/>
    <col min="19" max="19" width="12.36328125" customWidth="1"/>
    <col min="21" max="21" width="14.08984375" customWidth="1"/>
    <col min="22" max="27" width="15.6328125" customWidth="1"/>
    <col min="28" max="28" width="9.36328125" bestFit="1" customWidth="1"/>
    <col min="33" max="33" width="9.36328125" bestFit="1" customWidth="1"/>
  </cols>
  <sheetData>
    <row r="1" spans="2:34" x14ac:dyDescent="0.35">
      <c r="C1" t="s">
        <v>0</v>
      </c>
      <c r="D1" t="s">
        <v>1</v>
      </c>
      <c r="E1" t="s">
        <v>2</v>
      </c>
      <c r="Q1" t="s">
        <v>3</v>
      </c>
      <c r="R1">
        <f>COLUMN(B1)-COLUMN($B$2)+1</f>
        <v>1</v>
      </c>
      <c r="S1" t="s">
        <v>3</v>
      </c>
      <c r="T1">
        <f>COLUMN(C1)-COLUMN($B$2)+1</f>
        <v>2</v>
      </c>
      <c r="U1">
        <f>COLUMN(D1)-COLUMN($B$2)+1</f>
        <v>3</v>
      </c>
      <c r="V1">
        <f>COLUMN(E1)-COLUMN($B$2)+1</f>
        <v>4</v>
      </c>
      <c r="W1">
        <f t="shared" ref="W1:AA1" si="0">COLUMN(F1)-COLUMN($B$2)+1</f>
        <v>5</v>
      </c>
      <c r="X1">
        <f t="shared" si="0"/>
        <v>6</v>
      </c>
      <c r="Y1">
        <f t="shared" si="0"/>
        <v>7</v>
      </c>
      <c r="Z1">
        <f t="shared" si="0"/>
        <v>8</v>
      </c>
      <c r="AA1">
        <f t="shared" si="0"/>
        <v>9</v>
      </c>
    </row>
    <row r="2" spans="2:34" ht="29" x14ac:dyDescent="0.35">
      <c r="B2" s="1" t="s">
        <v>4</v>
      </c>
      <c r="C2" s="1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1" t="s">
        <v>13</v>
      </c>
      <c r="L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/>
      <c r="T2" s="1"/>
      <c r="U2" s="1" t="str">
        <f>D2</f>
        <v>South Asia</v>
      </c>
      <c r="V2" s="1" t="str">
        <f>E2</f>
        <v>Europe &amp; Central Asia</v>
      </c>
      <c r="W2" s="1" t="str">
        <f t="shared" ref="W2:AA3" si="1">F2</f>
        <v>Middle East &amp; North Africa</v>
      </c>
      <c r="X2" s="1" t="str">
        <f t="shared" si="1"/>
        <v>Sub-Saharan Africa</v>
      </c>
      <c r="Y2" s="1" t="str">
        <f t="shared" si="1"/>
        <v>Latin America &amp; Caribbean</v>
      </c>
      <c r="Z2" s="1" t="str">
        <f>I2</f>
        <v>East Asia &amp; Pacific</v>
      </c>
      <c r="AA2" s="1" t="str">
        <f>J2</f>
        <v>North America</v>
      </c>
      <c r="AB2" t="s">
        <v>19</v>
      </c>
      <c r="AE2" s="1" t="s">
        <v>20</v>
      </c>
      <c r="AF2" s="1" t="s">
        <v>21</v>
      </c>
      <c r="AG2" s="1" t="s">
        <v>22</v>
      </c>
      <c r="AH2" s="1" t="s">
        <v>18</v>
      </c>
    </row>
    <row r="3" spans="2:34" x14ac:dyDescent="0.35">
      <c r="B3" t="str">
        <f>[2]CBA_RE_matrix!GO38</f>
        <v>Sub-Saharan Africa</v>
      </c>
      <c r="C3" s="3">
        <v>14.326463902107992</v>
      </c>
      <c r="D3" s="4">
        <v>4.9789531659859146E-3</v>
      </c>
      <c r="E3" s="4">
        <v>1.2541686191647214E-2</v>
      </c>
      <c r="F3" s="4">
        <v>4.9180328780932935E-3</v>
      </c>
      <c r="G3" s="4">
        <v>2.1411865990822593E-3</v>
      </c>
      <c r="H3" s="4">
        <v>3.8499135496420337E-3</v>
      </c>
      <c r="I3" s="4">
        <v>2.682869382063633E-2</v>
      </c>
      <c r="J3" s="4">
        <v>1.2219433614669211E-2</v>
      </c>
      <c r="K3" s="3">
        <v>6.7477899819756257E-2</v>
      </c>
      <c r="L3" s="4">
        <v>0.96671969595779739</v>
      </c>
      <c r="O3">
        <v>0</v>
      </c>
      <c r="P3">
        <v>0</v>
      </c>
      <c r="Q3">
        <v>0</v>
      </c>
      <c r="R3" t="s">
        <v>23</v>
      </c>
      <c r="S3" t="s">
        <v>24</v>
      </c>
      <c r="T3" s="5">
        <v>0</v>
      </c>
      <c r="U3" s="4">
        <f>D3</f>
        <v>4.9789531659859146E-3</v>
      </c>
      <c r="V3" s="4">
        <f>E3</f>
        <v>1.2541686191647214E-2</v>
      </c>
      <c r="W3" s="4">
        <f t="shared" si="1"/>
        <v>4.9180328780932935E-3</v>
      </c>
      <c r="X3" s="4">
        <f t="shared" si="1"/>
        <v>2.1411865990822593E-3</v>
      </c>
      <c r="Y3" s="4">
        <f t="shared" si="1"/>
        <v>3.8499135496420337E-3</v>
      </c>
      <c r="Z3" s="4">
        <f t="shared" si="1"/>
        <v>2.682869382063633E-2</v>
      </c>
      <c r="AA3" s="4">
        <f t="shared" si="1"/>
        <v>1.2219433614669211E-2</v>
      </c>
      <c r="AB3" s="4">
        <f>SUM(U3:AA3)</f>
        <v>6.7477899819756257E-2</v>
      </c>
      <c r="AC3" s="5">
        <f t="shared" ref="AC3:AC24" si="2">T3</f>
        <v>0</v>
      </c>
      <c r="AD3" s="5"/>
      <c r="AE3" s="3">
        <f>C3</f>
        <v>14.326463902107992</v>
      </c>
      <c r="AF3" s="3">
        <f>AVERAGE(0,AE3)</f>
        <v>7.1632319510539961</v>
      </c>
      <c r="AG3" s="4">
        <f t="shared" ref="AG3:AG9" si="3">K3</f>
        <v>6.7477899819756257E-2</v>
      </c>
      <c r="AH3" t="str">
        <f t="shared" ref="AH3:AH9" si="4">B3</f>
        <v>Sub-Saharan Africa</v>
      </c>
    </row>
    <row r="4" spans="2:34" x14ac:dyDescent="0.35">
      <c r="B4" t="str">
        <f>[2]CBA_RE_matrix!GO35</f>
        <v>South Asia</v>
      </c>
      <c r="C4" s="3">
        <v>24.809491576108929</v>
      </c>
      <c r="D4" s="4">
        <v>3.1741319804097206E-3</v>
      </c>
      <c r="E4" s="4">
        <v>7.9954492243727669E-3</v>
      </c>
      <c r="F4" s="4">
        <v>3.1352946932111285E-3</v>
      </c>
      <c r="G4" s="4">
        <v>1.365027674211096E-3</v>
      </c>
      <c r="H4" s="4">
        <v>2.4543580371902732E-3</v>
      </c>
      <c r="I4" s="4">
        <v>1.7103558159667846E-2</v>
      </c>
      <c r="J4" s="4">
        <v>7.7900100133066448E-3</v>
      </c>
      <c r="K4" s="3">
        <v>4.3017829782369475E-2</v>
      </c>
      <c r="L4" s="4">
        <v>1.0672504856081833</v>
      </c>
      <c r="O4">
        <v>1</v>
      </c>
      <c r="P4">
        <f>O4</f>
        <v>1</v>
      </c>
      <c r="Q4" s="6">
        <f>MOD(O4,3)</f>
        <v>1</v>
      </c>
      <c r="R4" s="6" t="str">
        <f t="shared" ref="R4:R24" si="5">INDEX(dataSource,P4,R$1)</f>
        <v>Sub-Saharan Africa</v>
      </c>
      <c r="S4" s="6"/>
      <c r="T4" s="5">
        <f>IF(P4=P3,T3,T3+VLOOKUP(R4,dataSource,T$1,FALSE))</f>
        <v>14.326463902107992</v>
      </c>
      <c r="U4" s="4">
        <f t="shared" ref="U4:U23" si="6">IF($Q4=1,U3,IF($Q4=2,0,VLOOKUP($R5,dataSource,U$1,FALSE)))</f>
        <v>4.9789531659859146E-3</v>
      </c>
      <c r="V4" s="4">
        <f t="shared" ref="V4:Z19" si="7">IF($Q4=1,V3,IF($Q4=2,0,VLOOKUP($R5,dataSource,V$1,FALSE)))</f>
        <v>1.2541686191647214E-2</v>
      </c>
      <c r="W4" s="4">
        <f t="shared" si="7"/>
        <v>4.9180328780932935E-3</v>
      </c>
      <c r="X4" s="4">
        <f t="shared" si="7"/>
        <v>2.1411865990822593E-3</v>
      </c>
      <c r="Y4" s="4">
        <f t="shared" si="7"/>
        <v>3.8499135496420337E-3</v>
      </c>
      <c r="Z4" s="4">
        <f t="shared" si="7"/>
        <v>2.682869382063633E-2</v>
      </c>
      <c r="AA4" s="4">
        <f t="shared" ref="AA4" si="8">IF($Q4=1,AA3,IF($Q4=2,0,VLOOKUP($R5,dataSource,AA$1,FALSE)))</f>
        <v>1.2219433614669211E-2</v>
      </c>
      <c r="AB4" s="4">
        <f t="shared" ref="AB4:AB24" si="9">SUM(U4:AA4)</f>
        <v>6.7477899819756257E-2</v>
      </c>
      <c r="AC4" s="5">
        <f t="shared" si="2"/>
        <v>14.326463902107992</v>
      </c>
      <c r="AE4" s="3">
        <f t="shared" ref="AE4:AE9" si="10">AE3+C4</f>
        <v>39.135955478216921</v>
      </c>
      <c r="AF4" s="3">
        <f>AVERAGE(AE4,AE3)</f>
        <v>26.731209690162459</v>
      </c>
      <c r="AG4" s="4">
        <f t="shared" si="3"/>
        <v>4.3017829782369475E-2</v>
      </c>
      <c r="AH4" t="str">
        <f t="shared" si="4"/>
        <v>South Asia</v>
      </c>
    </row>
    <row r="5" spans="2:34" x14ac:dyDescent="0.35">
      <c r="B5" t="str">
        <f>[2]CBA_RE_matrix!GO39</f>
        <v>Latin America &amp; Caribbean</v>
      </c>
      <c r="C5" s="3">
        <v>8.1051971621851209</v>
      </c>
      <c r="D5" s="4">
        <v>5.8607860140222747E-4</v>
      </c>
      <c r="E5" s="4">
        <v>1.4762970563051531E-3</v>
      </c>
      <c r="F5" s="4">
        <v>5.7890760060450095E-4</v>
      </c>
      <c r="G5" s="4">
        <v>2.5204166528504211E-4</v>
      </c>
      <c r="H5" s="4">
        <v>4.5317798209232481E-4</v>
      </c>
      <c r="I5" s="4">
        <v>3.1580380107338428E-3</v>
      </c>
      <c r="J5" s="4">
        <v>1.4383643155628264E-3</v>
      </c>
      <c r="K5" s="3">
        <v>7.9429052319859184E-3</v>
      </c>
      <c r="L5" s="4">
        <v>6.4378812945797614E-2</v>
      </c>
      <c r="O5">
        <v>2</v>
      </c>
      <c r="P5">
        <f>IF(Q5=1,P4+1,P4)</f>
        <v>1</v>
      </c>
      <c r="Q5" s="6">
        <f>MOD(O5,3)</f>
        <v>2</v>
      </c>
      <c r="R5" s="6" t="str">
        <f t="shared" si="5"/>
        <v>Sub-Saharan Africa</v>
      </c>
      <c r="S5" s="6"/>
      <c r="T5" s="5">
        <f>IF(P5=P4,T4,T4+VLOOKUP(R5,dataSource,T$1,FALSE))</f>
        <v>14.326463902107992</v>
      </c>
      <c r="U5" s="4">
        <f t="shared" si="6"/>
        <v>0</v>
      </c>
      <c r="V5" s="4">
        <f t="shared" si="7"/>
        <v>0</v>
      </c>
      <c r="W5" s="4">
        <f t="shared" si="7"/>
        <v>0</v>
      </c>
      <c r="X5" s="4">
        <f t="shared" si="7"/>
        <v>0</v>
      </c>
      <c r="Y5" s="4">
        <f t="shared" si="7"/>
        <v>0</v>
      </c>
      <c r="Z5" s="4">
        <f t="shared" si="7"/>
        <v>0</v>
      </c>
      <c r="AA5" s="4">
        <f t="shared" ref="AA5" si="11">IF($Q5=1,AA4,IF($Q5=2,0,VLOOKUP($R6,dataSource,AA$1,FALSE)))</f>
        <v>0</v>
      </c>
      <c r="AB5" s="4">
        <f t="shared" si="9"/>
        <v>0</v>
      </c>
      <c r="AC5" s="5">
        <f t="shared" si="2"/>
        <v>14.326463902107992</v>
      </c>
      <c r="AE5" s="3">
        <f t="shared" si="10"/>
        <v>47.241152640402042</v>
      </c>
      <c r="AF5" s="3">
        <f t="shared" ref="AF5:AF9" si="12">AVERAGE(AE5,AE4)</f>
        <v>43.188554059309482</v>
      </c>
      <c r="AG5" s="4">
        <f t="shared" si="3"/>
        <v>7.9429052319859184E-3</v>
      </c>
      <c r="AH5" t="str">
        <f t="shared" si="4"/>
        <v>Latin America &amp; Caribbean</v>
      </c>
    </row>
    <row r="6" spans="2:34" x14ac:dyDescent="0.35">
      <c r="B6" t="str">
        <f>[2]CBA_RE_matrix!GO40</f>
        <v>East Asia &amp; Pacific</v>
      </c>
      <c r="C6" s="3">
        <v>30.510736538329812</v>
      </c>
      <c r="D6" s="4">
        <v>7.2275740962498007E-4</v>
      </c>
      <c r="E6" s="4">
        <v>1.8205828257493526E-3</v>
      </c>
      <c r="F6" s="4">
        <v>7.1391406685733223E-4</v>
      </c>
      <c r="G6" s="4">
        <v>3.1082005158206231E-4</v>
      </c>
      <c r="H6" s="4">
        <v>5.5886316895459244E-4</v>
      </c>
      <c r="I6" s="4">
        <v>3.8945209169456334E-3</v>
      </c>
      <c r="J6" s="4">
        <v>1.7738038282338227E-3</v>
      </c>
      <c r="K6" s="3">
        <v>9.7952622679477758E-3</v>
      </c>
      <c r="L6" s="4">
        <v>0.29886066638119757</v>
      </c>
      <c r="O6">
        <v>3</v>
      </c>
      <c r="P6">
        <f>IF(Q6=1,P5+1,P5)</f>
        <v>1</v>
      </c>
      <c r="Q6" s="6">
        <f>MOD(O6,3)</f>
        <v>0</v>
      </c>
      <c r="R6" s="6" t="str">
        <f t="shared" si="5"/>
        <v>Sub-Saharan Africa</v>
      </c>
      <c r="S6" s="6"/>
      <c r="T6" s="5">
        <f t="shared" ref="T6:T24" si="13">IF(P6=P5,T5,T5+VLOOKUP(R6,dataSource,T$1,FALSE))</f>
        <v>14.326463902107992</v>
      </c>
      <c r="U6" s="4">
        <f t="shared" si="6"/>
        <v>3.1741319804097206E-3</v>
      </c>
      <c r="V6" s="4">
        <f t="shared" si="7"/>
        <v>7.9954492243727669E-3</v>
      </c>
      <c r="W6" s="4">
        <f t="shared" si="7"/>
        <v>3.1352946932111285E-3</v>
      </c>
      <c r="X6" s="4">
        <f t="shared" si="7"/>
        <v>1.365027674211096E-3</v>
      </c>
      <c r="Y6" s="4">
        <f t="shared" si="7"/>
        <v>2.4543580371902732E-3</v>
      </c>
      <c r="Z6" s="4">
        <f t="shared" si="7"/>
        <v>1.7103558159667846E-2</v>
      </c>
      <c r="AA6" s="4">
        <f t="shared" ref="AA6" si="14">IF($Q6=1,AA5,IF($Q6=2,0,VLOOKUP($R7,dataSource,AA$1,FALSE)))</f>
        <v>7.7900100133066448E-3</v>
      </c>
      <c r="AB6" s="4">
        <f t="shared" si="9"/>
        <v>4.3017829782369475E-2</v>
      </c>
      <c r="AC6" s="5">
        <f t="shared" si="2"/>
        <v>14.326463902107992</v>
      </c>
      <c r="AE6" s="3">
        <f t="shared" si="10"/>
        <v>77.751889178731858</v>
      </c>
      <c r="AF6" s="3">
        <f t="shared" si="12"/>
        <v>62.496520909566954</v>
      </c>
      <c r="AG6" s="4">
        <f t="shared" si="3"/>
        <v>9.7952622679477758E-3</v>
      </c>
      <c r="AH6" t="str">
        <f t="shared" si="4"/>
        <v>East Asia &amp; Pacific</v>
      </c>
    </row>
    <row r="7" spans="2:34" x14ac:dyDescent="0.35">
      <c r="B7" t="str">
        <f>[2]CBA_RE_matrix!GO37</f>
        <v>Middle East &amp; North Africa</v>
      </c>
      <c r="C7" s="3">
        <v>5.3968454652070168</v>
      </c>
      <c r="D7" s="4">
        <v>7.5123027527632959E-4</v>
      </c>
      <c r="E7" s="4">
        <v>1.8923042768398545E-3</v>
      </c>
      <c r="F7" s="4">
        <v>7.420385510086392E-4</v>
      </c>
      <c r="G7" s="4">
        <v>3.2306473763105576E-4</v>
      </c>
      <c r="H7" s="4">
        <v>5.8087945784381751E-4</v>
      </c>
      <c r="I7" s="4">
        <v>4.0479446928459051E-3</v>
      </c>
      <c r="J7" s="4">
        <v>1.8436824312347343E-3</v>
      </c>
      <c r="K7" s="3">
        <v>1.0181144422680337E-2</v>
      </c>
      <c r="L7" s="4">
        <v>5.4946063108160088E-2</v>
      </c>
      <c r="O7">
        <v>4</v>
      </c>
      <c r="P7">
        <f t="shared" ref="P7:P24" si="15">IF(Q7=1,P6+1,P6)</f>
        <v>2</v>
      </c>
      <c r="Q7" s="6">
        <f t="shared" ref="Q7:Q24" si="16">MOD(O7,3)</f>
        <v>1</v>
      </c>
      <c r="R7" s="6" t="str">
        <f t="shared" si="5"/>
        <v>South Asia</v>
      </c>
      <c r="S7" s="6"/>
      <c r="T7" s="5">
        <f t="shared" si="13"/>
        <v>39.135955478216921</v>
      </c>
      <c r="U7" s="4">
        <f t="shared" si="6"/>
        <v>3.1741319804097206E-3</v>
      </c>
      <c r="V7" s="4">
        <f t="shared" si="7"/>
        <v>7.9954492243727669E-3</v>
      </c>
      <c r="W7" s="4">
        <f t="shared" si="7"/>
        <v>3.1352946932111285E-3</v>
      </c>
      <c r="X7" s="4">
        <f t="shared" si="7"/>
        <v>1.365027674211096E-3</v>
      </c>
      <c r="Y7" s="4">
        <f t="shared" si="7"/>
        <v>2.4543580371902732E-3</v>
      </c>
      <c r="Z7" s="4">
        <f t="shared" si="7"/>
        <v>1.7103558159667846E-2</v>
      </c>
      <c r="AA7" s="4">
        <f t="shared" ref="AA7" si="17">IF($Q7=1,AA6,IF($Q7=2,0,VLOOKUP($R8,dataSource,AA$1,FALSE)))</f>
        <v>7.7900100133066448E-3</v>
      </c>
      <c r="AB7" s="4">
        <f t="shared" si="9"/>
        <v>4.3017829782369475E-2</v>
      </c>
      <c r="AC7" s="5">
        <f t="shared" si="2"/>
        <v>39.135955478216921</v>
      </c>
      <c r="AE7" s="3">
        <f t="shared" si="10"/>
        <v>83.14873464393888</v>
      </c>
      <c r="AF7" s="3">
        <f t="shared" si="12"/>
        <v>80.450311911335376</v>
      </c>
      <c r="AG7" s="4">
        <f t="shared" si="3"/>
        <v>1.0181144422680337E-2</v>
      </c>
      <c r="AH7" t="str">
        <f t="shared" si="4"/>
        <v>Middle East &amp; North Africa</v>
      </c>
    </row>
    <row r="8" spans="2:34" x14ac:dyDescent="0.35">
      <c r="B8" t="str">
        <f>[2]CBA_RE_matrix!GO36</f>
        <v>Europe &amp; Central Asia</v>
      </c>
      <c r="C8" s="3">
        <v>12.003322561726106</v>
      </c>
      <c r="D8" s="4">
        <v>1.6817514371145808E-4</v>
      </c>
      <c r="E8" s="4">
        <v>4.2362316080284384E-4</v>
      </c>
      <c r="F8" s="4">
        <v>1.6611742639021949E-4</v>
      </c>
      <c r="G8" s="4">
        <v>7.2323308135075119E-5</v>
      </c>
      <c r="H8" s="4">
        <v>1.3003933616224949E-4</v>
      </c>
      <c r="I8" s="4">
        <v>9.061984092760166E-4</v>
      </c>
      <c r="J8" s="4">
        <v>4.1273836802855154E-4</v>
      </c>
      <c r="K8" s="3">
        <v>2.279215152506414E-3</v>
      </c>
      <c r="L8" s="4">
        <v>2.7358154663108248E-2</v>
      </c>
      <c r="O8">
        <v>5</v>
      </c>
      <c r="P8">
        <f t="shared" si="15"/>
        <v>2</v>
      </c>
      <c r="Q8" s="6">
        <f t="shared" si="16"/>
        <v>2</v>
      </c>
      <c r="R8" s="6" t="str">
        <f t="shared" si="5"/>
        <v>South Asia</v>
      </c>
      <c r="S8" s="6"/>
      <c r="T8" s="5">
        <f t="shared" si="13"/>
        <v>39.135955478216921</v>
      </c>
      <c r="U8" s="4">
        <f t="shared" si="6"/>
        <v>0</v>
      </c>
      <c r="V8" s="4">
        <f t="shared" si="7"/>
        <v>0</v>
      </c>
      <c r="W8" s="4">
        <f t="shared" si="7"/>
        <v>0</v>
      </c>
      <c r="X8" s="4">
        <f t="shared" si="7"/>
        <v>0</v>
      </c>
      <c r="Y8" s="4">
        <f t="shared" si="7"/>
        <v>0</v>
      </c>
      <c r="Z8" s="4">
        <f t="shared" si="7"/>
        <v>0</v>
      </c>
      <c r="AA8" s="4">
        <f t="shared" ref="AA8" si="18">IF($Q8=1,AA7,IF($Q8=2,0,VLOOKUP($R9,dataSource,AA$1,FALSE)))</f>
        <v>0</v>
      </c>
      <c r="AB8" s="4">
        <f t="shared" si="9"/>
        <v>0</v>
      </c>
      <c r="AC8" s="5">
        <f t="shared" si="2"/>
        <v>39.135955478216921</v>
      </c>
      <c r="AE8" s="3">
        <f t="shared" si="10"/>
        <v>95.152057205664988</v>
      </c>
      <c r="AF8" s="3">
        <f t="shared" si="12"/>
        <v>89.150395924801927</v>
      </c>
      <c r="AG8" s="4">
        <f t="shared" si="3"/>
        <v>2.279215152506414E-3</v>
      </c>
      <c r="AH8" t="str">
        <f t="shared" si="4"/>
        <v>Europe &amp; Central Asia</v>
      </c>
    </row>
    <row r="9" spans="2:34" x14ac:dyDescent="0.35">
      <c r="B9" t="str">
        <f>[2]CBA_RE_matrix!GO41</f>
        <v>North America</v>
      </c>
      <c r="C9" s="3">
        <v>4.8479427943350322</v>
      </c>
      <c r="D9" s="4">
        <v>-1.1551365027760857E-4</v>
      </c>
      <c r="E9" s="4">
        <v>-2.9097199839729269E-4</v>
      </c>
      <c r="F9" s="4">
        <v>-1.1410027590033705E-4</v>
      </c>
      <c r="G9" s="4">
        <v>-4.9676362026296253E-5</v>
      </c>
      <c r="H9" s="4">
        <v>-8.931949197885558E-5</v>
      </c>
      <c r="I9" s="4">
        <v>-6.2243613307584806E-4</v>
      </c>
      <c r="J9" s="4">
        <v>-2.8349561325424744E-4</v>
      </c>
      <c r="K9" s="3">
        <v>-1.5655135249104857E-3</v>
      </c>
      <c r="L9" s="4">
        <v>-7.5895200125238255E-3</v>
      </c>
      <c r="O9">
        <v>6</v>
      </c>
      <c r="P9">
        <f t="shared" si="15"/>
        <v>2</v>
      </c>
      <c r="Q9" s="6">
        <f t="shared" si="16"/>
        <v>0</v>
      </c>
      <c r="R9" s="6" t="str">
        <f t="shared" si="5"/>
        <v>South Asia</v>
      </c>
      <c r="S9" s="6"/>
      <c r="T9" s="5">
        <f t="shared" si="13"/>
        <v>39.135955478216921</v>
      </c>
      <c r="U9" s="4">
        <f t="shared" si="6"/>
        <v>5.8607860140222747E-4</v>
      </c>
      <c r="V9" s="4">
        <f t="shared" si="7"/>
        <v>1.4762970563051531E-3</v>
      </c>
      <c r="W9" s="4">
        <f t="shared" si="7"/>
        <v>5.7890760060450095E-4</v>
      </c>
      <c r="X9" s="4">
        <f t="shared" si="7"/>
        <v>2.5204166528504211E-4</v>
      </c>
      <c r="Y9" s="4">
        <f t="shared" si="7"/>
        <v>4.5317798209232481E-4</v>
      </c>
      <c r="Z9" s="4">
        <f t="shared" si="7"/>
        <v>3.1580380107338428E-3</v>
      </c>
      <c r="AA9" s="4">
        <f t="shared" ref="AA9" si="19">IF($Q9=1,AA8,IF($Q9=2,0,VLOOKUP($R10,dataSource,AA$1,FALSE)))</f>
        <v>1.4383643155628264E-3</v>
      </c>
      <c r="AB9" s="4">
        <f t="shared" si="9"/>
        <v>7.9429052319859184E-3</v>
      </c>
      <c r="AC9" s="5">
        <f t="shared" si="2"/>
        <v>39.135955478216921</v>
      </c>
      <c r="AE9" s="3">
        <f t="shared" si="10"/>
        <v>100.00000000000001</v>
      </c>
      <c r="AF9" s="3">
        <f t="shared" si="12"/>
        <v>97.576028602832508</v>
      </c>
      <c r="AG9" s="4">
        <f t="shared" si="3"/>
        <v>-1.5655135249104857E-3</v>
      </c>
      <c r="AH9" t="str">
        <f t="shared" si="4"/>
        <v>North America</v>
      </c>
    </row>
    <row r="10" spans="2:34" x14ac:dyDescent="0.35">
      <c r="C10" s="3"/>
      <c r="D10" s="7"/>
      <c r="E10" s="7"/>
      <c r="F10" s="7"/>
      <c r="G10" s="7"/>
      <c r="H10" s="7"/>
      <c r="I10" s="7"/>
      <c r="J10" s="7"/>
      <c r="K10" s="4">
        <v>0.14069425667724619</v>
      </c>
      <c r="L10" s="4"/>
      <c r="O10">
        <v>7</v>
      </c>
      <c r="P10">
        <f t="shared" si="15"/>
        <v>3</v>
      </c>
      <c r="Q10" s="6">
        <f t="shared" si="16"/>
        <v>1</v>
      </c>
      <c r="R10" s="6" t="str">
        <f t="shared" si="5"/>
        <v>Latin America &amp; Caribbean</v>
      </c>
      <c r="S10" s="6"/>
      <c r="T10" s="5">
        <f t="shared" si="13"/>
        <v>47.241152640402042</v>
      </c>
      <c r="U10" s="4">
        <f t="shared" si="6"/>
        <v>5.8607860140222747E-4</v>
      </c>
      <c r="V10" s="4">
        <f t="shared" si="7"/>
        <v>1.4762970563051531E-3</v>
      </c>
      <c r="W10" s="4">
        <f t="shared" si="7"/>
        <v>5.7890760060450095E-4</v>
      </c>
      <c r="X10" s="4">
        <f t="shared" si="7"/>
        <v>2.5204166528504211E-4</v>
      </c>
      <c r="Y10" s="4">
        <f t="shared" si="7"/>
        <v>4.5317798209232481E-4</v>
      </c>
      <c r="Z10" s="4">
        <f t="shared" si="7"/>
        <v>3.1580380107338428E-3</v>
      </c>
      <c r="AA10" s="4">
        <f t="shared" ref="AA10" si="20">IF($Q10=1,AA9,IF($Q10=2,0,VLOOKUP($R11,dataSource,AA$1,FALSE)))</f>
        <v>1.4383643155628264E-3</v>
      </c>
      <c r="AB10" s="4">
        <f t="shared" si="9"/>
        <v>7.9429052319859184E-3</v>
      </c>
      <c r="AC10" s="5">
        <f t="shared" si="2"/>
        <v>47.241152640402042</v>
      </c>
      <c r="AE10" s="3"/>
      <c r="AF10" s="3"/>
      <c r="AG10" s="4"/>
    </row>
    <row r="11" spans="2:34" x14ac:dyDescent="0.35">
      <c r="C11" s="3"/>
      <c r="D11" s="4"/>
      <c r="E11" s="4"/>
      <c r="F11" s="4"/>
      <c r="G11" s="4"/>
      <c r="H11" s="4"/>
      <c r="I11" s="4"/>
      <c r="J11" s="4"/>
      <c r="K11" s="4"/>
      <c r="L11" s="4"/>
      <c r="O11">
        <v>8</v>
      </c>
      <c r="P11">
        <f t="shared" si="15"/>
        <v>3</v>
      </c>
      <c r="Q11" s="6">
        <f t="shared" si="16"/>
        <v>2</v>
      </c>
      <c r="R11" s="6" t="str">
        <f t="shared" si="5"/>
        <v>Latin America &amp; Caribbean</v>
      </c>
      <c r="S11" s="6"/>
      <c r="T11" s="5">
        <f t="shared" si="13"/>
        <v>47.241152640402042</v>
      </c>
      <c r="U11" s="4">
        <f t="shared" si="6"/>
        <v>0</v>
      </c>
      <c r="V11" s="4">
        <f t="shared" si="7"/>
        <v>0</v>
      </c>
      <c r="W11" s="4">
        <f t="shared" si="7"/>
        <v>0</v>
      </c>
      <c r="X11" s="4">
        <f t="shared" si="7"/>
        <v>0</v>
      </c>
      <c r="Y11" s="4">
        <f t="shared" si="7"/>
        <v>0</v>
      </c>
      <c r="Z11" s="4">
        <f t="shared" si="7"/>
        <v>0</v>
      </c>
      <c r="AA11" s="4">
        <f t="shared" ref="AA11" si="21">IF($Q11=1,AA10,IF($Q11=2,0,VLOOKUP($R12,dataSource,AA$1,FALSE)))</f>
        <v>0</v>
      </c>
      <c r="AB11" s="4">
        <f t="shared" si="9"/>
        <v>0</v>
      </c>
      <c r="AC11" s="5">
        <f t="shared" si="2"/>
        <v>47.241152640402042</v>
      </c>
      <c r="AE11" s="3"/>
      <c r="AF11" s="3"/>
      <c r="AG11" s="4"/>
    </row>
    <row r="12" spans="2:34" x14ac:dyDescent="0.35">
      <c r="D12" s="4"/>
      <c r="E12" s="4"/>
      <c r="F12" s="4"/>
      <c r="G12" s="4"/>
      <c r="H12" s="4"/>
      <c r="I12" s="4"/>
      <c r="J12" s="4"/>
      <c r="K12" s="4"/>
      <c r="L12" s="4"/>
      <c r="O12">
        <v>9</v>
      </c>
      <c r="P12">
        <f t="shared" si="15"/>
        <v>3</v>
      </c>
      <c r="Q12" s="6">
        <f t="shared" si="16"/>
        <v>0</v>
      </c>
      <c r="R12" s="6" t="str">
        <f t="shared" si="5"/>
        <v>Latin America &amp; Caribbean</v>
      </c>
      <c r="S12" s="6"/>
      <c r="T12" s="5">
        <f t="shared" si="13"/>
        <v>47.241152640402042</v>
      </c>
      <c r="U12" s="4">
        <f t="shared" si="6"/>
        <v>7.2275740962498007E-4</v>
      </c>
      <c r="V12" s="4">
        <f t="shared" si="7"/>
        <v>1.8205828257493526E-3</v>
      </c>
      <c r="W12" s="4">
        <f t="shared" si="7"/>
        <v>7.1391406685733223E-4</v>
      </c>
      <c r="X12" s="4">
        <f t="shared" si="7"/>
        <v>3.1082005158206231E-4</v>
      </c>
      <c r="Y12" s="4">
        <f t="shared" si="7"/>
        <v>5.5886316895459244E-4</v>
      </c>
      <c r="Z12" s="4">
        <f t="shared" si="7"/>
        <v>3.8945209169456334E-3</v>
      </c>
      <c r="AA12" s="4">
        <f t="shared" ref="AA12" si="22">IF($Q12=1,AA11,IF($Q12=2,0,VLOOKUP($R13,dataSource,AA$1,FALSE)))</f>
        <v>1.7738038282338227E-3</v>
      </c>
      <c r="AB12" s="4">
        <f t="shared" si="9"/>
        <v>9.7952622679477758E-3</v>
      </c>
      <c r="AC12" s="5">
        <f t="shared" si="2"/>
        <v>47.241152640402042</v>
      </c>
      <c r="AE12" s="3"/>
      <c r="AF12" s="3"/>
      <c r="AG12" s="4"/>
    </row>
    <row r="13" spans="2:34" x14ac:dyDescent="0.35">
      <c r="C13" t="s">
        <v>25</v>
      </c>
      <c r="D13" s="4"/>
      <c r="E13" s="4"/>
      <c r="F13" s="4"/>
      <c r="G13" s="4"/>
      <c r="H13" s="4"/>
      <c r="I13" s="4"/>
      <c r="J13" s="4"/>
      <c r="K13" s="4"/>
      <c r="L13" s="4"/>
      <c r="O13">
        <v>10</v>
      </c>
      <c r="P13">
        <f t="shared" si="15"/>
        <v>4</v>
      </c>
      <c r="Q13" s="6">
        <f t="shared" si="16"/>
        <v>1</v>
      </c>
      <c r="R13" s="6" t="str">
        <f t="shared" si="5"/>
        <v>East Asia &amp; Pacific</v>
      </c>
      <c r="S13" s="6"/>
      <c r="T13" s="5">
        <f t="shared" si="13"/>
        <v>77.751889178731858</v>
      </c>
      <c r="U13" s="4">
        <f t="shared" si="6"/>
        <v>7.2275740962498007E-4</v>
      </c>
      <c r="V13" s="4">
        <f t="shared" si="7"/>
        <v>1.8205828257493526E-3</v>
      </c>
      <c r="W13" s="4">
        <f t="shared" si="7"/>
        <v>7.1391406685733223E-4</v>
      </c>
      <c r="X13" s="4">
        <f t="shared" si="7"/>
        <v>3.1082005158206231E-4</v>
      </c>
      <c r="Y13" s="4">
        <f t="shared" si="7"/>
        <v>5.5886316895459244E-4</v>
      </c>
      <c r="Z13" s="4">
        <f t="shared" si="7"/>
        <v>3.8945209169456334E-3</v>
      </c>
      <c r="AA13" s="4">
        <f t="shared" ref="AA13" si="23">IF($Q13=1,AA12,IF($Q13=2,0,VLOOKUP($R14,dataSource,AA$1,FALSE)))</f>
        <v>1.7738038282338227E-3</v>
      </c>
      <c r="AB13" s="4">
        <f t="shared" si="9"/>
        <v>9.7952622679477758E-3</v>
      </c>
      <c r="AC13" s="5">
        <f t="shared" si="2"/>
        <v>77.751889178731858</v>
      </c>
      <c r="AE13" s="3"/>
      <c r="AF13" s="3"/>
      <c r="AG13" s="4"/>
    </row>
    <row r="14" spans="2:34" x14ac:dyDescent="0.35">
      <c r="D14" s="4"/>
      <c r="E14" s="4"/>
      <c r="F14" s="4"/>
      <c r="G14" s="4"/>
      <c r="H14" s="4"/>
      <c r="I14" s="4"/>
      <c r="J14" s="4"/>
      <c r="K14" s="4"/>
      <c r="L14" s="4"/>
      <c r="O14">
        <v>11</v>
      </c>
      <c r="P14">
        <f t="shared" si="15"/>
        <v>4</v>
      </c>
      <c r="Q14" s="6">
        <f t="shared" si="16"/>
        <v>2</v>
      </c>
      <c r="R14" s="6" t="str">
        <f t="shared" si="5"/>
        <v>East Asia &amp; Pacific</v>
      </c>
      <c r="S14" s="6"/>
      <c r="T14" s="5">
        <f t="shared" si="13"/>
        <v>77.751889178731858</v>
      </c>
      <c r="U14" s="4">
        <f t="shared" si="6"/>
        <v>0</v>
      </c>
      <c r="V14" s="4">
        <f t="shared" si="7"/>
        <v>0</v>
      </c>
      <c r="W14" s="4">
        <f t="shared" si="7"/>
        <v>0</v>
      </c>
      <c r="X14" s="4">
        <f t="shared" si="7"/>
        <v>0</v>
      </c>
      <c r="Y14" s="4">
        <f t="shared" si="7"/>
        <v>0</v>
      </c>
      <c r="Z14" s="4">
        <f t="shared" si="7"/>
        <v>0</v>
      </c>
      <c r="AA14" s="4">
        <f t="shared" ref="AA14" si="24">IF($Q14=1,AA13,IF($Q14=2,0,VLOOKUP($R15,dataSource,AA$1,FALSE)))</f>
        <v>0</v>
      </c>
      <c r="AB14" s="4">
        <f t="shared" si="9"/>
        <v>0</v>
      </c>
      <c r="AC14" s="5">
        <f t="shared" si="2"/>
        <v>77.751889178731858</v>
      </c>
      <c r="AE14" s="3"/>
      <c r="AF14" s="3"/>
      <c r="AG14" s="4"/>
    </row>
    <row r="15" spans="2:34" x14ac:dyDescent="0.35">
      <c r="C15">
        <f>_xlfn.XLOOKUP(B6,B3:B9,F3:F9)</f>
        <v>7.1391406685733223E-4</v>
      </c>
      <c r="D15" s="4"/>
      <c r="E15" s="4"/>
      <c r="F15" s="4"/>
      <c r="G15" s="4"/>
      <c r="H15" s="4"/>
      <c r="I15" s="4"/>
      <c r="J15" s="4"/>
      <c r="K15" s="4"/>
      <c r="L15" s="4"/>
      <c r="O15">
        <v>12</v>
      </c>
      <c r="P15">
        <f t="shared" si="15"/>
        <v>4</v>
      </c>
      <c r="Q15" s="6">
        <f t="shared" si="16"/>
        <v>0</v>
      </c>
      <c r="R15" s="6" t="str">
        <f t="shared" si="5"/>
        <v>East Asia &amp; Pacific</v>
      </c>
      <c r="S15" s="6"/>
      <c r="T15" s="5">
        <f t="shared" si="13"/>
        <v>77.751889178731858</v>
      </c>
      <c r="U15" s="4">
        <f t="shared" si="6"/>
        <v>7.5123027527632959E-4</v>
      </c>
      <c r="V15" s="4">
        <f t="shared" si="7"/>
        <v>1.8923042768398545E-3</v>
      </c>
      <c r="W15" s="4">
        <f t="shared" si="7"/>
        <v>7.420385510086392E-4</v>
      </c>
      <c r="X15" s="4">
        <f t="shared" si="7"/>
        <v>3.2306473763105576E-4</v>
      </c>
      <c r="Y15" s="4">
        <f t="shared" si="7"/>
        <v>5.8087945784381751E-4</v>
      </c>
      <c r="Z15" s="4">
        <f t="shared" si="7"/>
        <v>4.0479446928459051E-3</v>
      </c>
      <c r="AA15" s="4">
        <f t="shared" ref="AA15" si="25">IF($Q15=1,AA14,IF($Q15=2,0,VLOOKUP($R16,dataSource,AA$1,FALSE)))</f>
        <v>1.8436824312347343E-3</v>
      </c>
      <c r="AB15" s="4">
        <f t="shared" si="9"/>
        <v>1.0181144422680337E-2</v>
      </c>
      <c r="AC15" s="5">
        <f t="shared" si="2"/>
        <v>77.751889178731858</v>
      </c>
      <c r="AE15" s="3"/>
      <c r="AF15" s="3"/>
      <c r="AG15" s="4"/>
    </row>
    <row r="16" spans="2:34" x14ac:dyDescent="0.35">
      <c r="D16" s="4"/>
      <c r="E16" s="4"/>
      <c r="F16" s="4"/>
      <c r="G16" s="4"/>
      <c r="H16" s="4"/>
      <c r="I16" s="4"/>
      <c r="J16" s="4"/>
      <c r="K16" s="4"/>
      <c r="L16" s="4"/>
      <c r="O16">
        <v>13</v>
      </c>
      <c r="P16">
        <f t="shared" si="15"/>
        <v>5</v>
      </c>
      <c r="Q16" s="6">
        <f t="shared" si="16"/>
        <v>1</v>
      </c>
      <c r="R16" s="6" t="str">
        <f t="shared" si="5"/>
        <v>Middle East &amp; North Africa</v>
      </c>
      <c r="S16" s="6"/>
      <c r="T16" s="5">
        <f t="shared" si="13"/>
        <v>83.14873464393888</v>
      </c>
      <c r="U16" s="4">
        <f t="shared" si="6"/>
        <v>7.5123027527632959E-4</v>
      </c>
      <c r="V16" s="4">
        <f t="shared" si="7"/>
        <v>1.8923042768398545E-3</v>
      </c>
      <c r="W16" s="4">
        <f t="shared" si="7"/>
        <v>7.420385510086392E-4</v>
      </c>
      <c r="X16" s="4">
        <f t="shared" si="7"/>
        <v>3.2306473763105576E-4</v>
      </c>
      <c r="Y16" s="4">
        <f t="shared" si="7"/>
        <v>5.8087945784381751E-4</v>
      </c>
      <c r="Z16" s="4">
        <f t="shared" si="7"/>
        <v>4.0479446928459051E-3</v>
      </c>
      <c r="AA16" s="4">
        <f t="shared" ref="AA16" si="26">IF($Q16=1,AA15,IF($Q16=2,0,VLOOKUP($R17,dataSource,AA$1,FALSE)))</f>
        <v>1.8436824312347343E-3</v>
      </c>
      <c r="AB16" s="4">
        <f t="shared" si="9"/>
        <v>1.0181144422680337E-2</v>
      </c>
      <c r="AC16" s="5">
        <f t="shared" si="2"/>
        <v>83.14873464393888</v>
      </c>
      <c r="AE16" s="3"/>
      <c r="AF16" s="3"/>
      <c r="AG16" s="4"/>
    </row>
    <row r="17" spans="3:33" x14ac:dyDescent="0.35">
      <c r="D17" s="4"/>
      <c r="E17" s="4"/>
      <c r="F17" s="4"/>
      <c r="G17" s="4"/>
      <c r="H17" s="4"/>
      <c r="I17" s="4"/>
      <c r="J17" s="4"/>
      <c r="K17" s="4"/>
      <c r="L17" s="4"/>
      <c r="O17">
        <v>14</v>
      </c>
      <c r="P17">
        <f t="shared" si="15"/>
        <v>5</v>
      </c>
      <c r="Q17" s="6">
        <f t="shared" si="16"/>
        <v>2</v>
      </c>
      <c r="R17" s="6" t="str">
        <f t="shared" si="5"/>
        <v>Middle East &amp; North Africa</v>
      </c>
      <c r="S17" s="6"/>
      <c r="T17" s="5">
        <f t="shared" si="13"/>
        <v>83.14873464393888</v>
      </c>
      <c r="U17" s="4">
        <f t="shared" si="6"/>
        <v>0</v>
      </c>
      <c r="V17" s="4">
        <f t="shared" si="7"/>
        <v>0</v>
      </c>
      <c r="W17" s="4">
        <f t="shared" si="7"/>
        <v>0</v>
      </c>
      <c r="X17" s="4">
        <f t="shared" si="7"/>
        <v>0</v>
      </c>
      <c r="Y17" s="4">
        <f t="shared" si="7"/>
        <v>0</v>
      </c>
      <c r="Z17" s="4">
        <f t="shared" si="7"/>
        <v>0</v>
      </c>
      <c r="AA17" s="4">
        <f t="shared" ref="AA17" si="27">IF($Q17=1,AA16,IF($Q17=2,0,VLOOKUP($R18,dataSource,AA$1,FALSE)))</f>
        <v>0</v>
      </c>
      <c r="AB17" s="4">
        <f t="shared" si="9"/>
        <v>0</v>
      </c>
      <c r="AC17" s="5">
        <f t="shared" si="2"/>
        <v>83.14873464393888</v>
      </c>
      <c r="AE17" s="3"/>
      <c r="AF17" s="3"/>
      <c r="AG17" s="4"/>
    </row>
    <row r="18" spans="3:33" x14ac:dyDescent="0.35">
      <c r="C18" s="8"/>
      <c r="D18" s="4"/>
      <c r="E18" s="4"/>
      <c r="F18" s="4"/>
      <c r="G18" s="4"/>
      <c r="H18" s="4"/>
      <c r="I18" s="4"/>
      <c r="J18" s="4"/>
      <c r="K18" s="4"/>
      <c r="L18" s="4"/>
      <c r="O18">
        <v>15</v>
      </c>
      <c r="P18">
        <f t="shared" si="15"/>
        <v>5</v>
      </c>
      <c r="Q18" s="6">
        <f t="shared" si="16"/>
        <v>0</v>
      </c>
      <c r="R18" s="6" t="str">
        <f t="shared" si="5"/>
        <v>Middle East &amp; North Africa</v>
      </c>
      <c r="S18" s="6"/>
      <c r="T18" s="5">
        <f t="shared" si="13"/>
        <v>83.14873464393888</v>
      </c>
      <c r="U18" s="4">
        <f t="shared" si="6"/>
        <v>1.6817514371145808E-4</v>
      </c>
      <c r="V18" s="4">
        <f t="shared" si="7"/>
        <v>4.2362316080284384E-4</v>
      </c>
      <c r="W18" s="4">
        <f t="shared" si="7"/>
        <v>1.6611742639021949E-4</v>
      </c>
      <c r="X18" s="4">
        <f t="shared" si="7"/>
        <v>7.2323308135075119E-5</v>
      </c>
      <c r="Y18" s="4">
        <f t="shared" si="7"/>
        <v>1.3003933616224949E-4</v>
      </c>
      <c r="Z18" s="4">
        <f t="shared" si="7"/>
        <v>9.061984092760166E-4</v>
      </c>
      <c r="AA18" s="4">
        <f t="shared" ref="AA18" si="28">IF($Q18=1,AA17,IF($Q18=2,0,VLOOKUP($R19,dataSource,AA$1,FALSE)))</f>
        <v>4.1273836802855154E-4</v>
      </c>
      <c r="AB18" s="4">
        <f t="shared" si="9"/>
        <v>2.279215152506414E-3</v>
      </c>
      <c r="AC18" s="5">
        <f t="shared" si="2"/>
        <v>83.14873464393888</v>
      </c>
      <c r="AE18" s="3"/>
      <c r="AF18" s="3"/>
      <c r="AG18" s="4"/>
    </row>
    <row r="19" spans="3:33" x14ac:dyDescent="0.35">
      <c r="C19" s="8"/>
      <c r="D19" s="4"/>
      <c r="E19" s="4"/>
      <c r="F19" s="4"/>
      <c r="G19" s="4"/>
      <c r="H19" s="4"/>
      <c r="I19" s="4"/>
      <c r="J19" s="4"/>
      <c r="K19" s="4"/>
      <c r="L19" s="4"/>
      <c r="O19">
        <v>16</v>
      </c>
      <c r="P19">
        <f t="shared" si="15"/>
        <v>6</v>
      </c>
      <c r="Q19" s="6">
        <f t="shared" si="16"/>
        <v>1</v>
      </c>
      <c r="R19" s="6" t="str">
        <f t="shared" si="5"/>
        <v>Europe &amp; Central Asia</v>
      </c>
      <c r="S19" s="6"/>
      <c r="T19" s="5">
        <f t="shared" si="13"/>
        <v>95.152057205664988</v>
      </c>
      <c r="U19" s="4">
        <f t="shared" si="6"/>
        <v>1.6817514371145808E-4</v>
      </c>
      <c r="V19" s="4">
        <f t="shared" si="7"/>
        <v>4.2362316080284384E-4</v>
      </c>
      <c r="W19" s="4">
        <f t="shared" si="7"/>
        <v>1.6611742639021949E-4</v>
      </c>
      <c r="X19" s="4">
        <f t="shared" si="7"/>
        <v>7.2323308135075119E-5</v>
      </c>
      <c r="Y19" s="4">
        <f t="shared" si="7"/>
        <v>1.3003933616224949E-4</v>
      </c>
      <c r="Z19" s="4">
        <f t="shared" si="7"/>
        <v>9.061984092760166E-4</v>
      </c>
      <c r="AA19" s="4">
        <f t="shared" ref="AA19" si="29">IF($Q19=1,AA18,IF($Q19=2,0,VLOOKUP($R20,dataSource,AA$1,FALSE)))</f>
        <v>4.1273836802855154E-4</v>
      </c>
      <c r="AB19" s="4">
        <f t="shared" si="9"/>
        <v>2.279215152506414E-3</v>
      </c>
      <c r="AC19" s="5">
        <f t="shared" si="2"/>
        <v>95.152057205664988</v>
      </c>
      <c r="AE19" s="3"/>
      <c r="AF19" s="3"/>
      <c r="AG19" s="4"/>
    </row>
    <row r="20" spans="3:33" x14ac:dyDescent="0.35">
      <c r="C20" s="3"/>
      <c r="D20" s="4"/>
      <c r="E20" s="4"/>
      <c r="F20" s="4"/>
      <c r="G20" s="4"/>
      <c r="H20" s="4"/>
      <c r="I20" s="4"/>
      <c r="J20" s="4"/>
      <c r="K20" s="4"/>
      <c r="L20" s="4"/>
      <c r="O20">
        <v>17</v>
      </c>
      <c r="P20">
        <f t="shared" si="15"/>
        <v>6</v>
      </c>
      <c r="Q20" s="6">
        <f t="shared" si="16"/>
        <v>2</v>
      </c>
      <c r="R20" s="6" t="str">
        <f t="shared" si="5"/>
        <v>Europe &amp; Central Asia</v>
      </c>
      <c r="S20" s="6"/>
      <c r="T20" s="5">
        <f t="shared" si="13"/>
        <v>95.152057205664988</v>
      </c>
      <c r="U20" s="4">
        <f t="shared" si="6"/>
        <v>0</v>
      </c>
      <c r="V20" s="4">
        <f t="shared" ref="V20:Z24" si="30">IF($Q20=1,V19,IF($Q20=2,0,VLOOKUP($R21,dataSource,V$1,FALSE)))</f>
        <v>0</v>
      </c>
      <c r="W20" s="4">
        <f t="shared" si="30"/>
        <v>0</v>
      </c>
      <c r="X20" s="4">
        <f t="shared" si="30"/>
        <v>0</v>
      </c>
      <c r="Y20" s="4">
        <f t="shared" si="30"/>
        <v>0</v>
      </c>
      <c r="Z20" s="4">
        <f t="shared" si="30"/>
        <v>0</v>
      </c>
      <c r="AA20" s="4">
        <f t="shared" ref="AA20" si="31">IF($Q20=1,AA19,IF($Q20=2,0,VLOOKUP($R21,dataSource,AA$1,FALSE)))</f>
        <v>0</v>
      </c>
      <c r="AB20" s="4">
        <f t="shared" si="9"/>
        <v>0</v>
      </c>
      <c r="AC20" s="5">
        <f t="shared" si="2"/>
        <v>95.152057205664988</v>
      </c>
      <c r="AE20" s="3"/>
      <c r="AF20" s="3"/>
      <c r="AG20" s="4"/>
    </row>
    <row r="21" spans="3:33" x14ac:dyDescent="0.35">
      <c r="C21" s="3"/>
      <c r="D21" s="4"/>
      <c r="E21" s="4"/>
      <c r="F21" s="4"/>
      <c r="G21" s="4"/>
      <c r="H21" s="4"/>
      <c r="I21" s="4"/>
      <c r="J21" s="4"/>
      <c r="K21" s="4"/>
      <c r="L21" s="4"/>
      <c r="O21">
        <v>18</v>
      </c>
      <c r="P21">
        <f t="shared" si="15"/>
        <v>6</v>
      </c>
      <c r="Q21" s="6">
        <f t="shared" si="16"/>
        <v>0</v>
      </c>
      <c r="R21" s="6" t="str">
        <f t="shared" si="5"/>
        <v>Europe &amp; Central Asia</v>
      </c>
      <c r="S21" s="6"/>
      <c r="T21" s="5">
        <f t="shared" si="13"/>
        <v>95.152057205664988</v>
      </c>
      <c r="U21" s="4">
        <f>IF($Q21=1,U20,IF($Q21=2,0,VLOOKUP($R22,dataSource,U$1,FALSE)))</f>
        <v>-1.1551365027760857E-4</v>
      </c>
      <c r="V21" s="4">
        <f t="shared" si="30"/>
        <v>-2.9097199839729269E-4</v>
      </c>
      <c r="W21" s="4">
        <f t="shared" si="30"/>
        <v>-1.1410027590033705E-4</v>
      </c>
      <c r="X21" s="4">
        <f t="shared" si="30"/>
        <v>-4.9676362026296253E-5</v>
      </c>
      <c r="Y21" s="4">
        <f t="shared" si="30"/>
        <v>-8.931949197885558E-5</v>
      </c>
      <c r="Z21" s="4">
        <f t="shared" si="30"/>
        <v>-6.2243613307584806E-4</v>
      </c>
      <c r="AA21" s="4">
        <f t="shared" ref="AA21" si="32">IF($Q21=1,AA20,IF($Q21=2,0,VLOOKUP($R22,dataSource,AA$1,FALSE)))</f>
        <v>-2.8349561325424744E-4</v>
      </c>
      <c r="AB21" s="4">
        <f t="shared" si="9"/>
        <v>-1.5655135249104857E-3</v>
      </c>
      <c r="AC21" s="5">
        <f t="shared" si="2"/>
        <v>95.152057205664988</v>
      </c>
      <c r="AE21" s="3"/>
      <c r="AF21" s="3"/>
      <c r="AG21" s="4"/>
    </row>
    <row r="22" spans="3:33" x14ac:dyDescent="0.35">
      <c r="C22" s="3"/>
      <c r="D22" s="4"/>
      <c r="E22" s="4"/>
      <c r="F22" s="4"/>
      <c r="G22" s="4"/>
      <c r="H22" s="4"/>
      <c r="I22" s="4"/>
      <c r="J22" s="4"/>
      <c r="K22" s="4"/>
      <c r="L22" s="4"/>
      <c r="O22">
        <v>19</v>
      </c>
      <c r="P22">
        <f t="shared" si="15"/>
        <v>7</v>
      </c>
      <c r="Q22" s="6">
        <f t="shared" si="16"/>
        <v>1</v>
      </c>
      <c r="R22" s="6" t="str">
        <f t="shared" si="5"/>
        <v>North America</v>
      </c>
      <c r="S22" s="6"/>
      <c r="T22" s="5">
        <f t="shared" si="13"/>
        <v>100.00000000000001</v>
      </c>
      <c r="U22" s="4">
        <f t="shared" si="6"/>
        <v>-1.1551365027760857E-4</v>
      </c>
      <c r="V22" s="4">
        <f t="shared" si="30"/>
        <v>-2.9097199839729269E-4</v>
      </c>
      <c r="W22" s="4">
        <f t="shared" si="30"/>
        <v>-1.1410027590033705E-4</v>
      </c>
      <c r="X22" s="4">
        <f t="shared" si="30"/>
        <v>-4.9676362026296253E-5</v>
      </c>
      <c r="Y22" s="4">
        <f t="shared" si="30"/>
        <v>-8.931949197885558E-5</v>
      </c>
      <c r="Z22" s="4">
        <f t="shared" si="30"/>
        <v>-6.2243613307584806E-4</v>
      </c>
      <c r="AA22" s="4">
        <f t="shared" ref="AA22" si="33">IF($Q22=1,AA21,IF($Q22=2,0,VLOOKUP($R23,dataSource,AA$1,FALSE)))</f>
        <v>-2.8349561325424744E-4</v>
      </c>
      <c r="AB22" s="4">
        <f t="shared" si="9"/>
        <v>-1.5655135249104857E-3</v>
      </c>
      <c r="AC22" s="5">
        <f t="shared" si="2"/>
        <v>100.00000000000001</v>
      </c>
      <c r="AE22" s="3"/>
      <c r="AF22" s="3"/>
      <c r="AG22" s="4"/>
    </row>
    <row r="23" spans="3:33" x14ac:dyDescent="0.35">
      <c r="C23" s="3"/>
      <c r="D23" s="4"/>
      <c r="E23" s="4"/>
      <c r="F23" s="4"/>
      <c r="G23" s="4"/>
      <c r="H23" s="4"/>
      <c r="I23" s="4"/>
      <c r="J23" s="4"/>
      <c r="K23" s="4"/>
      <c r="L23" s="4"/>
      <c r="O23">
        <v>20</v>
      </c>
      <c r="P23">
        <f t="shared" si="15"/>
        <v>7</v>
      </c>
      <c r="Q23" s="6">
        <f t="shared" si="16"/>
        <v>2</v>
      </c>
      <c r="R23" s="6" t="str">
        <f t="shared" si="5"/>
        <v>North America</v>
      </c>
      <c r="S23" s="6"/>
      <c r="T23" s="5">
        <f t="shared" si="13"/>
        <v>100.00000000000001</v>
      </c>
      <c r="U23" s="4">
        <f t="shared" si="6"/>
        <v>0</v>
      </c>
      <c r="V23" s="4">
        <f t="shared" si="30"/>
        <v>0</v>
      </c>
      <c r="W23" s="4">
        <f t="shared" si="30"/>
        <v>0</v>
      </c>
      <c r="X23" s="4">
        <f t="shared" si="30"/>
        <v>0</v>
      </c>
      <c r="Y23" s="4">
        <f t="shared" si="30"/>
        <v>0</v>
      </c>
      <c r="Z23" s="4">
        <f t="shared" si="30"/>
        <v>0</v>
      </c>
      <c r="AA23" s="4">
        <f t="shared" ref="AA23" si="34">IF($Q23=1,AA22,IF($Q23=2,0,VLOOKUP($R24,dataSource,AA$1,FALSE)))</f>
        <v>0</v>
      </c>
      <c r="AB23" s="4">
        <f t="shared" si="9"/>
        <v>0</v>
      </c>
      <c r="AC23" s="5">
        <f t="shared" si="2"/>
        <v>100.00000000000001</v>
      </c>
      <c r="AE23" s="3"/>
      <c r="AF23" s="3"/>
      <c r="AG23" s="4"/>
    </row>
    <row r="24" spans="3:33" x14ac:dyDescent="0.35">
      <c r="C24" s="3"/>
      <c r="D24" s="4"/>
      <c r="E24" s="4"/>
      <c r="F24" s="4"/>
      <c r="G24" s="4"/>
      <c r="H24" s="4"/>
      <c r="I24" s="4"/>
      <c r="J24" s="4"/>
      <c r="K24" s="4"/>
      <c r="L24" s="4"/>
      <c r="O24">
        <v>21</v>
      </c>
      <c r="P24">
        <f t="shared" si="15"/>
        <v>7</v>
      </c>
      <c r="Q24" s="6">
        <f t="shared" si="16"/>
        <v>0</v>
      </c>
      <c r="R24" s="6" t="str">
        <f t="shared" si="5"/>
        <v>North America</v>
      </c>
      <c r="S24" s="6"/>
      <c r="T24" s="5">
        <f t="shared" si="13"/>
        <v>100.00000000000001</v>
      </c>
      <c r="U24" s="4">
        <f>IF($Q24=1,U23,IF($Q24=2,0,VLOOKUP($R25,dataSource,U$1,FALSE)))</f>
        <v>-1.1551365027760857E-4</v>
      </c>
      <c r="V24" s="4">
        <f t="shared" si="30"/>
        <v>-2.9097199839729269E-4</v>
      </c>
      <c r="W24" s="4">
        <f t="shared" si="30"/>
        <v>-1.1410027590033705E-4</v>
      </c>
      <c r="X24" s="4">
        <f t="shared" si="30"/>
        <v>-4.9676362026296253E-5</v>
      </c>
      <c r="Y24" s="4">
        <f t="shared" si="30"/>
        <v>-8.931949197885558E-5</v>
      </c>
      <c r="Z24" s="4">
        <f t="shared" si="30"/>
        <v>-6.2243613307584806E-4</v>
      </c>
      <c r="AA24" s="4">
        <f t="shared" ref="AA24" si="35">IF($Q24=1,AA23,IF($Q24=2,0,VLOOKUP($R25,dataSource,AA$1,FALSE)))</f>
        <v>-2.8349561325424744E-4</v>
      </c>
      <c r="AB24" s="4">
        <f t="shared" si="9"/>
        <v>-1.5655135249104857E-3</v>
      </c>
      <c r="AC24" s="5">
        <f t="shared" si="2"/>
        <v>100.00000000000001</v>
      </c>
      <c r="AE24" s="3"/>
      <c r="AF24" s="3"/>
      <c r="AG24" s="4"/>
    </row>
    <row r="25" spans="3:33" x14ac:dyDescent="0.35">
      <c r="C25" s="3"/>
      <c r="D25" s="4"/>
      <c r="E25" s="4"/>
      <c r="F25" s="4"/>
      <c r="G25" s="4"/>
      <c r="H25" s="4"/>
      <c r="I25" s="4"/>
      <c r="J25" s="4"/>
      <c r="K25" s="4"/>
      <c r="L25" s="4"/>
      <c r="Q25" s="6"/>
      <c r="R25" s="6" t="s">
        <v>12</v>
      </c>
      <c r="S25" s="6"/>
      <c r="T25" s="5"/>
      <c r="U25" s="4"/>
      <c r="V25" s="4"/>
      <c r="W25" s="4"/>
      <c r="X25" s="4"/>
      <c r="Y25" s="4"/>
      <c r="Z25" s="4"/>
      <c r="AA25" s="4"/>
      <c r="AB25" s="4"/>
      <c r="AC25" s="5"/>
      <c r="AE25" s="3"/>
      <c r="AF25" s="3"/>
      <c r="AG25" s="4"/>
    </row>
    <row r="26" spans="3:33" x14ac:dyDescent="0.35">
      <c r="C26" s="3"/>
      <c r="D26" s="4"/>
      <c r="E26" s="4"/>
      <c r="F26" s="4"/>
      <c r="G26" s="4"/>
      <c r="H26" s="4"/>
      <c r="I26" s="4"/>
      <c r="J26" s="4"/>
      <c r="K26" s="4"/>
      <c r="L26" s="4"/>
      <c r="Q26" s="6"/>
      <c r="R26" s="6"/>
      <c r="S26" s="6"/>
      <c r="T26" s="5"/>
      <c r="U26" s="4"/>
      <c r="V26" s="4"/>
      <c r="W26" s="4"/>
      <c r="X26" s="4"/>
      <c r="Y26" s="4"/>
      <c r="Z26" s="4"/>
      <c r="AA26" s="4"/>
      <c r="AB26" s="4"/>
      <c r="AC26" s="5"/>
      <c r="AE26" s="3"/>
      <c r="AF26" s="3"/>
      <c r="AG26" s="4"/>
    </row>
    <row r="27" spans="3:33" x14ac:dyDescent="0.35">
      <c r="C27" s="3"/>
      <c r="D27" s="4"/>
      <c r="E27" s="4"/>
      <c r="F27" s="4"/>
      <c r="G27" s="4"/>
      <c r="H27" s="4"/>
      <c r="I27" s="4"/>
      <c r="J27" s="4"/>
      <c r="K27" s="4"/>
      <c r="L27" s="4"/>
      <c r="Q27" s="6"/>
      <c r="R27" s="6"/>
      <c r="S27" s="6"/>
      <c r="T27" s="5"/>
      <c r="U27" s="4"/>
      <c r="V27" s="4"/>
      <c r="W27" s="4"/>
      <c r="X27" s="4"/>
      <c r="Y27" s="4"/>
      <c r="Z27" s="4"/>
      <c r="AA27" s="4"/>
      <c r="AB27" s="4"/>
      <c r="AC27" s="5"/>
      <c r="AE27" s="3"/>
      <c r="AF27" s="3"/>
      <c r="AG27" s="4"/>
    </row>
    <row r="28" spans="3:33" x14ac:dyDescent="0.35">
      <c r="C28" s="3"/>
      <c r="D28" s="4"/>
      <c r="E28" s="4"/>
      <c r="F28" s="4"/>
      <c r="G28" s="4"/>
      <c r="H28" s="4"/>
      <c r="I28" s="4"/>
      <c r="J28" s="4"/>
      <c r="K28" s="4"/>
      <c r="L28" s="4"/>
      <c r="Q28" s="6"/>
      <c r="R28" s="6"/>
      <c r="S28" s="6"/>
      <c r="T28" s="5"/>
      <c r="U28" s="4"/>
      <c r="V28" s="4"/>
      <c r="W28" s="4"/>
      <c r="X28" s="4"/>
      <c r="Y28" s="4"/>
      <c r="Z28" s="4"/>
      <c r="AA28" s="4"/>
      <c r="AB28" s="4"/>
      <c r="AC28" s="5"/>
      <c r="AE28" s="3"/>
      <c r="AF28" s="3"/>
      <c r="AG28" s="4"/>
    </row>
    <row r="29" spans="3:33" x14ac:dyDescent="0.35">
      <c r="C29" s="3"/>
      <c r="D29" s="4"/>
      <c r="E29" s="4"/>
      <c r="F29" s="4"/>
      <c r="G29" s="4"/>
      <c r="H29" s="4"/>
      <c r="I29" s="4"/>
      <c r="J29" s="4"/>
      <c r="K29" s="4"/>
      <c r="L29" s="4"/>
      <c r="Q29" s="6"/>
      <c r="R29" s="6"/>
      <c r="S29" s="6"/>
      <c r="T29" s="5"/>
      <c r="U29" s="4"/>
      <c r="V29" s="4"/>
      <c r="W29" s="4"/>
      <c r="X29" s="4"/>
      <c r="Y29" s="4"/>
      <c r="Z29" s="4"/>
      <c r="AA29" s="4"/>
      <c r="AB29" s="4"/>
      <c r="AC29" s="5"/>
      <c r="AE29" s="3"/>
      <c r="AF29" s="3"/>
      <c r="AG29" s="4"/>
    </row>
    <row r="30" spans="3:33" x14ac:dyDescent="0.35">
      <c r="C30" s="3"/>
      <c r="D30" s="4"/>
      <c r="E30" s="4"/>
      <c r="F30" s="4"/>
      <c r="G30" s="4"/>
      <c r="H30" s="4"/>
      <c r="I30" s="4"/>
      <c r="J30" s="4"/>
      <c r="K30" s="4"/>
      <c r="L30" s="4"/>
      <c r="Q30" s="6"/>
      <c r="R30" s="6"/>
      <c r="S30" s="6"/>
      <c r="T30" s="5"/>
      <c r="U30" s="4"/>
      <c r="V30" s="4"/>
      <c r="W30" s="4"/>
      <c r="X30" s="4"/>
      <c r="Y30" s="4"/>
      <c r="Z30" s="4"/>
      <c r="AA30" s="4"/>
      <c r="AB30" s="4"/>
      <c r="AC30" s="5"/>
      <c r="AE30" s="3"/>
      <c r="AF30" s="3"/>
      <c r="AG30" s="4"/>
    </row>
    <row r="31" spans="3:33" x14ac:dyDescent="0.35">
      <c r="C31" s="3"/>
      <c r="D31" s="4"/>
      <c r="E31" s="4"/>
      <c r="F31" s="4"/>
      <c r="G31" s="4"/>
      <c r="H31" s="4"/>
      <c r="I31" s="4"/>
      <c r="J31" s="4"/>
      <c r="K31" s="4"/>
      <c r="L31" s="4"/>
      <c r="Q31" s="6"/>
      <c r="R31" s="6"/>
      <c r="S31" s="6"/>
      <c r="T31" s="5"/>
      <c r="U31" s="4"/>
      <c r="V31" s="4"/>
      <c r="W31" s="4"/>
      <c r="X31" s="4"/>
      <c r="Y31" s="4"/>
      <c r="Z31" s="4"/>
      <c r="AA31" s="4"/>
      <c r="AB31" s="4"/>
      <c r="AC31" s="5"/>
      <c r="AE31" s="3"/>
      <c r="AF31" s="3"/>
      <c r="AG31" s="4"/>
    </row>
    <row r="32" spans="3:33" x14ac:dyDescent="0.35">
      <c r="C32" s="3"/>
      <c r="D32" s="4"/>
      <c r="E32" s="4"/>
      <c r="F32" s="4"/>
      <c r="G32" s="4"/>
      <c r="H32" s="4"/>
      <c r="I32" s="4"/>
      <c r="J32" s="4"/>
      <c r="K32" s="4"/>
      <c r="L32" s="4"/>
      <c r="Q32" s="6"/>
      <c r="R32" s="6"/>
      <c r="S32" s="6"/>
      <c r="T32" s="5"/>
      <c r="U32" s="4"/>
      <c r="V32" s="4"/>
      <c r="W32" s="4"/>
      <c r="X32" s="4"/>
      <c r="Y32" s="4"/>
      <c r="Z32" s="4"/>
      <c r="AA32" s="4"/>
      <c r="AB32" s="4"/>
      <c r="AC32" s="5"/>
      <c r="AE32" s="3"/>
      <c r="AF32" s="3"/>
      <c r="AG32" s="4"/>
    </row>
    <row r="33" spans="3:33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Q33" s="6"/>
      <c r="R33" s="6"/>
      <c r="S33" s="6"/>
      <c r="T33" s="5"/>
      <c r="U33" s="4"/>
      <c r="V33" s="4"/>
      <c r="W33" s="4"/>
      <c r="X33" s="4"/>
      <c r="Y33" s="4"/>
      <c r="Z33" s="4"/>
      <c r="AA33" s="4"/>
      <c r="AB33" s="4"/>
      <c r="AC33" s="5"/>
      <c r="AE33" s="3"/>
      <c r="AF33" s="3"/>
      <c r="AG33" s="4"/>
    </row>
    <row r="34" spans="3:33" x14ac:dyDescent="0.35">
      <c r="C34" s="3"/>
      <c r="D34" s="4"/>
      <c r="E34" s="4"/>
      <c r="F34" s="4"/>
      <c r="G34" s="4"/>
      <c r="H34" s="4"/>
      <c r="I34" s="4"/>
      <c r="J34" s="4"/>
      <c r="K34" s="4"/>
      <c r="L34" s="4"/>
      <c r="Q34" s="6"/>
      <c r="R34" s="6"/>
      <c r="S34" s="6"/>
      <c r="T34" s="5"/>
      <c r="U34" s="4"/>
      <c r="V34" s="4"/>
      <c r="W34" s="4"/>
      <c r="X34" s="4"/>
      <c r="Y34" s="4"/>
      <c r="Z34" s="4"/>
      <c r="AA34" s="4"/>
      <c r="AB34" s="4"/>
      <c r="AC34" s="5"/>
      <c r="AE34" s="3"/>
      <c r="AF34" s="3"/>
      <c r="AG34" s="4"/>
    </row>
    <row r="35" spans="3:33" x14ac:dyDescent="0.35">
      <c r="C35" s="3"/>
      <c r="D35" s="4"/>
      <c r="E35" s="4"/>
      <c r="F35" s="4"/>
      <c r="G35" s="4"/>
      <c r="H35" s="4"/>
      <c r="I35" s="4"/>
      <c r="J35" s="4"/>
      <c r="K35" s="4"/>
      <c r="L35" s="4"/>
      <c r="Q35" s="6"/>
      <c r="R35" s="6"/>
      <c r="S35" s="6"/>
      <c r="T35" s="5"/>
      <c r="U35" s="4"/>
      <c r="V35" s="4"/>
      <c r="W35" s="4"/>
      <c r="X35" s="4"/>
      <c r="Y35" s="4"/>
      <c r="Z35" s="4"/>
      <c r="AA35" s="4"/>
      <c r="AB35" s="4"/>
      <c r="AC35" s="5"/>
      <c r="AE35" s="3"/>
      <c r="AF35" s="3"/>
      <c r="AG35" s="4"/>
    </row>
    <row r="36" spans="3:33" x14ac:dyDescent="0.35">
      <c r="C36" s="3"/>
      <c r="D36" s="4"/>
      <c r="E36" s="4"/>
      <c r="F36" s="4"/>
      <c r="G36" s="4"/>
      <c r="H36" s="4"/>
      <c r="I36" s="4"/>
      <c r="J36" s="4"/>
      <c r="K36" s="4"/>
      <c r="L36" s="4"/>
      <c r="Q36" s="6"/>
      <c r="R36" s="6"/>
      <c r="S36" s="6"/>
      <c r="T36" s="5"/>
      <c r="U36" s="4"/>
      <c r="V36" s="4"/>
      <c r="W36" s="4"/>
      <c r="X36" s="4"/>
      <c r="Y36" s="4"/>
      <c r="Z36" s="4"/>
      <c r="AA36" s="4"/>
      <c r="AB36" s="4"/>
      <c r="AC36" s="5"/>
      <c r="AE36" s="3"/>
      <c r="AF36" s="3"/>
      <c r="AG36" s="4"/>
    </row>
    <row r="37" spans="3:33" x14ac:dyDescent="0.35">
      <c r="C37" s="3"/>
      <c r="D37" s="4"/>
      <c r="E37" s="4"/>
      <c r="F37" s="4"/>
      <c r="G37" s="4"/>
      <c r="H37" s="4"/>
      <c r="I37" s="4"/>
      <c r="J37" s="4"/>
      <c r="K37" s="4"/>
      <c r="L37" s="4"/>
      <c r="Q37" s="6"/>
      <c r="R37" s="6"/>
      <c r="S37" s="6"/>
      <c r="T37" s="5"/>
      <c r="U37" s="4"/>
      <c r="V37" s="4"/>
      <c r="W37" s="4"/>
      <c r="X37" s="4"/>
      <c r="Y37" s="4"/>
      <c r="Z37" s="4"/>
      <c r="AA37" s="4"/>
      <c r="AB37" s="4"/>
      <c r="AC37" s="5"/>
      <c r="AE37" s="3"/>
      <c r="AF37" s="3"/>
      <c r="AG37" s="4"/>
    </row>
    <row r="38" spans="3:33" x14ac:dyDescent="0.35">
      <c r="C38" s="3"/>
      <c r="D38" s="4"/>
      <c r="E38" s="4"/>
      <c r="F38" s="4"/>
      <c r="G38" s="4"/>
      <c r="H38" s="4"/>
      <c r="I38" s="4"/>
      <c r="J38" s="4"/>
      <c r="K38" s="4"/>
      <c r="L38" s="4"/>
      <c r="Q38" s="6"/>
      <c r="R38" s="6"/>
      <c r="S38" s="6"/>
      <c r="T38" s="5"/>
      <c r="U38" s="4"/>
      <c r="V38" s="4"/>
      <c r="W38" s="4"/>
      <c r="X38" s="4"/>
      <c r="Y38" s="4"/>
      <c r="Z38" s="4"/>
      <c r="AA38" s="4"/>
      <c r="AB38" s="4"/>
      <c r="AC38" s="5"/>
      <c r="AE38" s="3"/>
      <c r="AF38" s="3"/>
      <c r="AG38" s="4"/>
    </row>
    <row r="39" spans="3:33" x14ac:dyDescent="0.35">
      <c r="C39" s="3"/>
      <c r="D39" s="4"/>
      <c r="E39" s="4"/>
      <c r="F39" s="4"/>
      <c r="G39" s="4"/>
      <c r="H39" s="4"/>
      <c r="I39" s="4"/>
      <c r="J39" s="4"/>
      <c r="K39" s="4"/>
      <c r="L39" s="4"/>
      <c r="Q39" s="6"/>
      <c r="R39" s="6"/>
      <c r="S39" s="6"/>
      <c r="T39" s="5"/>
      <c r="U39" s="4"/>
      <c r="V39" s="4"/>
      <c r="W39" s="4"/>
      <c r="X39" s="4"/>
      <c r="Y39" s="4"/>
      <c r="Z39" s="4"/>
      <c r="AA39" s="4"/>
      <c r="AB39" s="4"/>
      <c r="AC39" s="5"/>
      <c r="AE39" s="3"/>
      <c r="AF39" s="3"/>
      <c r="AG39" s="4"/>
    </row>
    <row r="40" spans="3:33" x14ac:dyDescent="0.35">
      <c r="C40" s="3"/>
      <c r="D40" s="4"/>
      <c r="E40" s="4"/>
      <c r="F40" s="4"/>
      <c r="G40" s="4"/>
      <c r="H40" s="4"/>
      <c r="I40" s="4"/>
      <c r="J40" s="4"/>
      <c r="K40" s="4"/>
      <c r="L40" s="4"/>
      <c r="Q40" s="6"/>
      <c r="R40" s="6"/>
      <c r="S40" s="6"/>
      <c r="T40" s="5"/>
      <c r="U40" s="4"/>
      <c r="V40" s="4"/>
      <c r="W40" s="4"/>
      <c r="X40" s="4"/>
      <c r="Y40" s="4"/>
      <c r="Z40" s="4"/>
      <c r="AA40" s="4"/>
      <c r="AB40" s="4"/>
      <c r="AC40" s="5"/>
      <c r="AE40" s="3"/>
      <c r="AF40" s="3"/>
      <c r="AG40" s="4"/>
    </row>
    <row r="41" spans="3:33" x14ac:dyDescent="0.35">
      <c r="C41" s="3"/>
      <c r="D41" s="4"/>
      <c r="E41" s="4"/>
      <c r="F41" s="4"/>
      <c r="G41" s="4"/>
      <c r="H41" s="4"/>
      <c r="I41" s="4"/>
      <c r="J41" s="4"/>
      <c r="K41" s="4"/>
      <c r="L41" s="4"/>
      <c r="Q41" s="6"/>
      <c r="R41" s="6"/>
      <c r="S41" s="6"/>
      <c r="T41" s="5"/>
      <c r="U41" s="4"/>
      <c r="V41" s="4"/>
      <c r="W41" s="4"/>
      <c r="X41" s="4"/>
      <c r="Y41" s="4"/>
      <c r="Z41" s="4"/>
      <c r="AA41" s="4"/>
      <c r="AB41" s="4"/>
      <c r="AC41" s="5"/>
      <c r="AE41" s="3"/>
      <c r="AF41" s="3"/>
      <c r="AG41" s="4"/>
    </row>
    <row r="42" spans="3:33" x14ac:dyDescent="0.35">
      <c r="C42" s="3"/>
      <c r="D42" s="4"/>
      <c r="E42" s="4"/>
      <c r="F42" s="4"/>
      <c r="G42" s="4"/>
      <c r="H42" s="4"/>
      <c r="I42" s="4"/>
      <c r="J42" s="4"/>
      <c r="K42" s="4"/>
      <c r="L42" s="4"/>
      <c r="Q42" s="6"/>
      <c r="R42" s="6"/>
      <c r="S42" s="6"/>
      <c r="T42" s="5"/>
      <c r="U42" s="4"/>
      <c r="V42" s="4"/>
      <c r="W42" s="4"/>
      <c r="X42" s="4"/>
      <c r="Y42" s="4"/>
      <c r="Z42" s="4"/>
      <c r="AA42" s="4"/>
      <c r="AB42" s="4"/>
      <c r="AC42" s="5"/>
      <c r="AE42" s="3"/>
      <c r="AF42" s="3"/>
      <c r="AG42" s="4"/>
    </row>
    <row r="43" spans="3:33" x14ac:dyDescent="0.35">
      <c r="C43" s="3"/>
      <c r="D43" s="4"/>
      <c r="E43" s="4"/>
      <c r="F43" s="4"/>
      <c r="G43" s="4"/>
      <c r="H43" s="4"/>
      <c r="I43" s="4"/>
      <c r="J43" s="4"/>
      <c r="K43" s="4"/>
      <c r="L43" s="4"/>
      <c r="Q43" s="6"/>
      <c r="R43" s="6"/>
      <c r="S43" s="6"/>
      <c r="T43" s="5"/>
      <c r="U43" s="4"/>
      <c r="V43" s="4"/>
      <c r="W43" s="4"/>
      <c r="X43" s="4"/>
      <c r="Y43" s="4"/>
      <c r="Z43" s="4"/>
      <c r="AA43" s="4"/>
      <c r="AB43" s="4"/>
      <c r="AC43" s="5"/>
      <c r="AE43" s="3"/>
      <c r="AF43" s="3"/>
      <c r="AG43" s="4"/>
    </row>
    <row r="44" spans="3:33" x14ac:dyDescent="0.35">
      <c r="C44" s="3"/>
      <c r="D44" s="4"/>
      <c r="E44" s="4"/>
      <c r="F44" s="4"/>
      <c r="G44" s="4"/>
      <c r="H44" s="4"/>
      <c r="I44" s="4"/>
      <c r="J44" s="4"/>
      <c r="K44" s="4"/>
      <c r="L44" s="4"/>
      <c r="Q44" s="6"/>
      <c r="R44" s="6"/>
      <c r="S44" s="6"/>
      <c r="T44" s="5"/>
      <c r="U44" s="4"/>
      <c r="V44" s="4"/>
      <c r="W44" s="4"/>
      <c r="X44" s="4"/>
      <c r="Y44" s="4"/>
      <c r="Z44" s="4"/>
      <c r="AA44" s="4"/>
      <c r="AB44" s="4"/>
      <c r="AC44" s="5"/>
      <c r="AE44" s="3"/>
      <c r="AF44" s="3"/>
      <c r="AG44" s="4"/>
    </row>
    <row r="45" spans="3:33" x14ac:dyDescent="0.35">
      <c r="C45" s="3"/>
      <c r="D45" s="4"/>
      <c r="E45" s="4"/>
      <c r="F45" s="4"/>
      <c r="G45" s="4"/>
      <c r="H45" s="4"/>
      <c r="I45" s="4"/>
      <c r="J45" s="4"/>
      <c r="K45" s="4"/>
      <c r="L45" s="4"/>
      <c r="Q45" s="6"/>
      <c r="R45" s="6"/>
      <c r="S45" s="6"/>
      <c r="T45" s="5"/>
      <c r="U45" s="4"/>
      <c r="V45" s="4"/>
      <c r="W45" s="4"/>
      <c r="X45" s="4"/>
      <c r="Y45" s="4"/>
      <c r="Z45" s="4"/>
      <c r="AA45" s="4"/>
      <c r="AB45" s="4"/>
      <c r="AC45" s="5"/>
      <c r="AE45" s="3"/>
      <c r="AF45" s="3"/>
      <c r="AG45" s="4"/>
    </row>
    <row r="46" spans="3:33" x14ac:dyDescent="0.35">
      <c r="C46" s="3"/>
      <c r="D46" s="4"/>
      <c r="E46" s="4"/>
      <c r="F46" s="4"/>
      <c r="G46" s="4"/>
      <c r="H46" s="4"/>
      <c r="I46" s="4"/>
      <c r="J46" s="4"/>
      <c r="K46" s="4"/>
      <c r="L46" s="4"/>
      <c r="Q46" s="6"/>
      <c r="R46" s="6"/>
      <c r="S46" s="6"/>
      <c r="T46" s="5"/>
      <c r="U46" s="4"/>
      <c r="V46" s="4"/>
      <c r="W46" s="4"/>
      <c r="X46" s="4"/>
      <c r="Y46" s="4"/>
      <c r="Z46" s="4"/>
      <c r="AA46" s="4"/>
      <c r="AB46" s="4"/>
      <c r="AC46" s="5"/>
      <c r="AE46" s="3"/>
      <c r="AF46" s="3"/>
      <c r="AG46" s="4"/>
    </row>
    <row r="47" spans="3:33" x14ac:dyDescent="0.35">
      <c r="C47" s="3"/>
      <c r="D47" s="4"/>
      <c r="E47" s="4"/>
      <c r="F47" s="4"/>
      <c r="G47" s="4"/>
      <c r="H47" s="4"/>
      <c r="I47" s="4"/>
      <c r="J47" s="4"/>
      <c r="K47" s="4"/>
      <c r="L47" s="4"/>
      <c r="Q47" s="6"/>
      <c r="R47" s="6"/>
      <c r="S47" s="6"/>
      <c r="T47" s="5"/>
      <c r="U47" s="4"/>
      <c r="V47" s="4"/>
      <c r="W47" s="4"/>
      <c r="X47" s="4"/>
      <c r="Y47" s="4"/>
      <c r="Z47" s="4"/>
      <c r="AA47" s="4"/>
      <c r="AB47" s="4"/>
      <c r="AC47" s="5"/>
      <c r="AE47" s="3"/>
      <c r="AF47" s="3"/>
      <c r="AG47" s="4"/>
    </row>
    <row r="48" spans="3:33" x14ac:dyDescent="0.35">
      <c r="C48" s="3"/>
      <c r="D48" s="4"/>
      <c r="E48" s="4"/>
      <c r="F48" s="4"/>
      <c r="G48" s="4"/>
      <c r="H48" s="4"/>
      <c r="I48" s="4"/>
      <c r="J48" s="4"/>
      <c r="K48" s="4"/>
      <c r="L48" s="4"/>
      <c r="Q48" s="6"/>
      <c r="R48" s="6"/>
      <c r="S48" s="6"/>
      <c r="T48" s="5"/>
      <c r="U48" s="4"/>
      <c r="V48" s="4"/>
      <c r="W48" s="4"/>
      <c r="X48" s="4"/>
      <c r="Y48" s="4"/>
      <c r="Z48" s="4"/>
      <c r="AA48" s="4"/>
      <c r="AB48" s="4"/>
      <c r="AC48" s="5"/>
      <c r="AE48" s="3"/>
      <c r="AF48" s="3"/>
      <c r="AG48" s="4"/>
    </row>
    <row r="49" spans="3:33" x14ac:dyDescent="0.35">
      <c r="C49" s="3"/>
      <c r="D49" s="4"/>
      <c r="E49" s="4"/>
      <c r="F49" s="4"/>
      <c r="G49" s="4"/>
      <c r="H49" s="4"/>
      <c r="I49" s="4"/>
      <c r="J49" s="4"/>
      <c r="K49" s="4"/>
      <c r="L49" s="4"/>
      <c r="Q49" s="6"/>
      <c r="R49" s="6"/>
      <c r="S49" s="6"/>
      <c r="T49" s="5"/>
      <c r="U49" s="4"/>
      <c r="V49" s="4"/>
      <c r="W49" s="4"/>
      <c r="X49" s="4"/>
      <c r="Y49" s="4"/>
      <c r="Z49" s="4"/>
      <c r="AA49" s="4"/>
      <c r="AB49" s="4"/>
      <c r="AC49" s="5"/>
      <c r="AE49" s="3"/>
      <c r="AF49" s="3"/>
      <c r="AG49" s="4"/>
    </row>
    <row r="50" spans="3:33" x14ac:dyDescent="0.35">
      <c r="C50" s="3"/>
      <c r="D50" s="4"/>
      <c r="E50" s="4"/>
      <c r="F50" s="4"/>
      <c r="G50" s="4"/>
      <c r="H50" s="4"/>
      <c r="I50" s="4"/>
      <c r="J50" s="4"/>
      <c r="K50" s="4"/>
      <c r="L50" s="4"/>
      <c r="Q50" s="6"/>
      <c r="R50" s="6"/>
      <c r="S50" s="6"/>
      <c r="T50" s="5"/>
      <c r="U50" s="4"/>
      <c r="V50" s="4"/>
      <c r="W50" s="4"/>
      <c r="X50" s="4"/>
      <c r="Y50" s="4"/>
      <c r="Z50" s="4"/>
      <c r="AA50" s="4"/>
      <c r="AB50" s="4"/>
      <c r="AC50" s="5"/>
      <c r="AE50" s="3"/>
      <c r="AF50" s="3"/>
      <c r="AG50" s="4"/>
    </row>
    <row r="51" spans="3:33" x14ac:dyDescent="0.35">
      <c r="C51" s="3"/>
      <c r="D51" s="4"/>
      <c r="E51" s="4"/>
      <c r="F51" s="4"/>
      <c r="G51" s="4"/>
      <c r="H51" s="4"/>
      <c r="I51" s="4"/>
      <c r="J51" s="4"/>
      <c r="K51" s="4"/>
      <c r="L51" s="4"/>
      <c r="Q51" s="6"/>
      <c r="R51" s="6"/>
      <c r="S51" s="6"/>
      <c r="T51" s="5"/>
      <c r="U51" s="4"/>
      <c r="V51" s="4"/>
      <c r="W51" s="4"/>
      <c r="X51" s="4"/>
      <c r="Y51" s="4"/>
      <c r="Z51" s="4"/>
      <c r="AA51" s="4"/>
      <c r="AB51" s="4"/>
      <c r="AC51" s="5"/>
      <c r="AE51" s="3"/>
      <c r="AF51" s="3"/>
      <c r="AG51" s="4"/>
    </row>
    <row r="52" spans="3:33" x14ac:dyDescent="0.35">
      <c r="C52" s="3"/>
      <c r="D52" s="4"/>
      <c r="E52" s="4"/>
      <c r="F52" s="4"/>
      <c r="G52" s="4"/>
      <c r="H52" s="4"/>
      <c r="I52" s="4"/>
      <c r="J52" s="4"/>
      <c r="K52" s="4"/>
      <c r="L52" s="4"/>
      <c r="Q52" s="6"/>
      <c r="R52" s="6"/>
      <c r="S52" s="6"/>
      <c r="T52" s="5"/>
      <c r="U52" s="4"/>
      <c r="V52" s="4"/>
      <c r="W52" s="4"/>
      <c r="X52" s="4"/>
      <c r="Y52" s="4"/>
      <c r="Z52" s="4"/>
      <c r="AA52" s="4"/>
      <c r="AB52" s="4"/>
      <c r="AC52" s="5"/>
      <c r="AE52" s="3"/>
      <c r="AF52" s="3"/>
      <c r="AG52" s="4"/>
    </row>
    <row r="53" spans="3:33" x14ac:dyDescent="0.35">
      <c r="Q53" s="6"/>
      <c r="R53" s="6"/>
      <c r="S53" s="6"/>
      <c r="T53" s="5"/>
      <c r="U53" s="4"/>
      <c r="V53" s="4"/>
      <c r="W53" s="4"/>
      <c r="X53" s="4"/>
      <c r="Y53" s="4"/>
      <c r="Z53" s="4"/>
      <c r="AA53" s="4"/>
      <c r="AB53" s="4"/>
      <c r="AC53" s="5"/>
    </row>
    <row r="54" spans="3:33" x14ac:dyDescent="0.35">
      <c r="Q54" s="6"/>
      <c r="R54" s="6"/>
      <c r="S54" s="6"/>
      <c r="T54" s="5"/>
      <c r="U54" s="4"/>
      <c r="V54" s="4"/>
      <c r="W54" s="4"/>
      <c r="X54" s="4"/>
      <c r="Y54" s="4"/>
      <c r="Z54" s="4"/>
      <c r="AA54" s="4"/>
      <c r="AB54" s="4"/>
      <c r="AC54" s="5"/>
    </row>
    <row r="55" spans="3:33" x14ac:dyDescent="0.35">
      <c r="Q55" s="6"/>
      <c r="R55" s="6"/>
      <c r="S55" s="6"/>
      <c r="T55" s="5"/>
      <c r="U55" s="4"/>
      <c r="V55" s="4"/>
      <c r="W55" s="4"/>
      <c r="X55" s="4"/>
      <c r="Y55" s="4"/>
      <c r="Z55" s="4"/>
      <c r="AA55" s="4"/>
      <c r="AB55" s="4"/>
      <c r="AC55" s="5"/>
    </row>
    <row r="56" spans="3:33" x14ac:dyDescent="0.35">
      <c r="Q56" s="6"/>
      <c r="R56" s="6"/>
      <c r="S56" s="6"/>
      <c r="T56" s="5"/>
      <c r="U56" s="4"/>
      <c r="V56" s="4"/>
      <c r="W56" s="4"/>
      <c r="X56" s="4"/>
      <c r="Y56" s="4"/>
      <c r="Z56" s="4"/>
      <c r="AA56" s="4"/>
      <c r="AB56" s="4"/>
      <c r="AC56" s="5"/>
    </row>
    <row r="57" spans="3:33" x14ac:dyDescent="0.35">
      <c r="Q57" s="6"/>
      <c r="R57" s="6"/>
      <c r="S57" s="6"/>
      <c r="T57" s="5"/>
      <c r="U57" s="4"/>
      <c r="V57" s="4"/>
      <c r="W57" s="4"/>
      <c r="X57" s="4"/>
      <c r="Y57" s="4"/>
      <c r="Z57" s="4"/>
      <c r="AA57" s="4"/>
      <c r="AB57" s="4"/>
      <c r="AC57" s="5"/>
    </row>
    <row r="58" spans="3:33" x14ac:dyDescent="0.35">
      <c r="Q58" s="6"/>
      <c r="R58" s="6"/>
      <c r="S58" s="6"/>
      <c r="T58" s="5"/>
      <c r="U58" s="4"/>
      <c r="V58" s="4"/>
      <c r="W58" s="4"/>
      <c r="X58" s="4"/>
      <c r="Y58" s="4"/>
      <c r="Z58" s="4"/>
      <c r="AA58" s="4"/>
      <c r="AB58" s="4"/>
      <c r="AC58" s="5"/>
    </row>
    <row r="59" spans="3:33" x14ac:dyDescent="0.35">
      <c r="Q59" s="6"/>
      <c r="R59" s="6"/>
      <c r="S59" s="6"/>
      <c r="T59" s="5"/>
      <c r="U59" s="4"/>
      <c r="V59" s="4"/>
      <c r="W59" s="4"/>
      <c r="X59" s="4"/>
      <c r="Y59" s="4"/>
      <c r="Z59" s="4"/>
      <c r="AA59" s="4"/>
      <c r="AB59" s="4"/>
      <c r="AC59" s="5"/>
    </row>
    <row r="60" spans="3:33" x14ac:dyDescent="0.35">
      <c r="Q60" s="6"/>
      <c r="R60" s="6"/>
      <c r="S60" s="6"/>
      <c r="T60" s="5"/>
      <c r="U60" s="4"/>
      <c r="V60" s="4"/>
      <c r="W60" s="4"/>
      <c r="X60" s="4"/>
      <c r="Y60" s="4"/>
      <c r="Z60" s="4"/>
      <c r="AA60" s="4"/>
      <c r="AB60" s="4"/>
      <c r="AC60" s="5"/>
    </row>
    <row r="61" spans="3:33" x14ac:dyDescent="0.35">
      <c r="Q61" s="6"/>
      <c r="R61" s="6"/>
      <c r="S61" s="6"/>
      <c r="T61" s="5"/>
      <c r="U61" s="4"/>
      <c r="V61" s="4"/>
      <c r="W61" s="4"/>
      <c r="X61" s="4"/>
      <c r="Y61" s="4"/>
      <c r="Z61" s="4"/>
      <c r="AA61" s="4"/>
      <c r="AB61" s="4"/>
      <c r="AC61" s="5"/>
    </row>
    <row r="62" spans="3:33" x14ac:dyDescent="0.35">
      <c r="Q62" s="6"/>
      <c r="R62" s="6"/>
      <c r="S62" s="6"/>
      <c r="T62" s="5"/>
      <c r="U62" s="4"/>
      <c r="V62" s="4"/>
      <c r="W62" s="4"/>
      <c r="X62" s="4"/>
      <c r="Y62" s="4"/>
      <c r="Z62" s="4"/>
      <c r="AA62" s="4"/>
      <c r="AB62" s="4"/>
      <c r="AC62" s="5"/>
    </row>
    <row r="63" spans="3:33" x14ac:dyDescent="0.35">
      <c r="Q63" s="6"/>
      <c r="R63" s="6"/>
      <c r="S63" s="6"/>
      <c r="T63" s="5"/>
      <c r="U63" s="4"/>
      <c r="V63" s="4"/>
      <c r="W63" s="4"/>
      <c r="X63" s="4"/>
      <c r="Y63" s="4"/>
      <c r="Z63" s="4"/>
      <c r="AA63" s="4"/>
      <c r="AB63" s="4"/>
      <c r="AC63" s="5"/>
    </row>
    <row r="64" spans="3:33" x14ac:dyDescent="0.35">
      <c r="Q64" s="6"/>
      <c r="R64" s="6"/>
      <c r="S64" s="6"/>
      <c r="T64" s="5"/>
      <c r="U64" s="4"/>
      <c r="V64" s="4"/>
      <c r="W64" s="4"/>
      <c r="X64" s="4"/>
      <c r="Y64" s="4"/>
      <c r="Z64" s="4"/>
      <c r="AA64" s="4"/>
      <c r="AB64" s="4"/>
      <c r="AC64" s="5"/>
    </row>
    <row r="65" spans="17:29" x14ac:dyDescent="0.35">
      <c r="Q65" s="6"/>
      <c r="R65" s="6"/>
      <c r="S65" s="6"/>
      <c r="T65" s="5"/>
      <c r="U65" s="4"/>
      <c r="V65" s="4"/>
      <c r="W65" s="4"/>
      <c r="X65" s="4"/>
      <c r="Y65" s="4"/>
      <c r="Z65" s="4"/>
      <c r="AA65" s="4"/>
      <c r="AB65" s="4"/>
      <c r="AC65" s="5"/>
    </row>
    <row r="66" spans="17:29" x14ac:dyDescent="0.35">
      <c r="Q66" s="6"/>
      <c r="R66" s="6"/>
      <c r="S66" s="6"/>
      <c r="T66" s="5"/>
      <c r="U66" s="4"/>
      <c r="V66" s="4"/>
      <c r="W66" s="4"/>
      <c r="X66" s="4"/>
      <c r="Y66" s="4"/>
      <c r="Z66" s="4"/>
      <c r="AA66" s="4"/>
      <c r="AB66" s="4"/>
      <c r="AC66" s="5"/>
    </row>
    <row r="67" spans="17:29" x14ac:dyDescent="0.35">
      <c r="Q67" s="6"/>
      <c r="R67" s="6"/>
      <c r="S67" s="6"/>
      <c r="T67" s="5"/>
      <c r="U67" s="4"/>
      <c r="V67" s="4"/>
      <c r="W67" s="4"/>
      <c r="X67" s="4"/>
      <c r="Y67" s="4"/>
      <c r="Z67" s="4"/>
      <c r="AA67" s="4"/>
      <c r="AB67" s="4"/>
      <c r="AC67" s="5"/>
    </row>
    <row r="68" spans="17:29" x14ac:dyDescent="0.35">
      <c r="Q68" s="6"/>
      <c r="R68" s="6"/>
      <c r="S68" s="6"/>
      <c r="T68" s="5"/>
      <c r="U68" s="4"/>
      <c r="V68" s="4"/>
      <c r="W68" s="4"/>
      <c r="X68" s="4"/>
      <c r="Y68" s="4"/>
      <c r="Z68" s="4"/>
      <c r="AA68" s="4"/>
      <c r="AB68" s="4"/>
      <c r="AC68" s="5"/>
    </row>
    <row r="69" spans="17:29" x14ac:dyDescent="0.35">
      <c r="Q69" s="6"/>
      <c r="R69" s="6"/>
      <c r="S69" s="6"/>
      <c r="T69" s="5"/>
      <c r="U69" s="4"/>
      <c r="V69" s="4"/>
      <c r="W69" s="4"/>
      <c r="X69" s="4"/>
      <c r="Y69" s="4"/>
      <c r="Z69" s="4"/>
      <c r="AA69" s="4"/>
      <c r="AB69" s="4"/>
      <c r="AC69" s="5"/>
    </row>
    <row r="70" spans="17:29" x14ac:dyDescent="0.35">
      <c r="Q70" s="6"/>
      <c r="R70" s="6"/>
      <c r="S70" s="6"/>
      <c r="T70" s="5"/>
      <c r="U70" s="4"/>
      <c r="V70" s="4"/>
      <c r="W70" s="4"/>
      <c r="X70" s="4"/>
      <c r="Y70" s="4"/>
      <c r="Z70" s="4"/>
      <c r="AA70" s="4"/>
      <c r="AB70" s="4"/>
      <c r="AC70" s="5"/>
    </row>
    <row r="71" spans="17:29" x14ac:dyDescent="0.35">
      <c r="Q71" s="6"/>
      <c r="R71" s="6"/>
      <c r="S71" s="6"/>
      <c r="T71" s="5"/>
      <c r="U71" s="4"/>
      <c r="V71" s="4"/>
      <c r="W71" s="4"/>
      <c r="X71" s="4"/>
      <c r="Y71" s="4"/>
      <c r="Z71" s="4"/>
      <c r="AA71" s="4"/>
      <c r="AB71" s="4"/>
      <c r="AC71" s="5"/>
    </row>
    <row r="72" spans="17:29" x14ac:dyDescent="0.35">
      <c r="Q72" s="6"/>
      <c r="R72" s="6"/>
      <c r="S72" s="6"/>
      <c r="T72" s="5"/>
      <c r="U72" s="4"/>
      <c r="V72" s="4"/>
      <c r="W72" s="4"/>
      <c r="X72" s="4"/>
      <c r="Y72" s="4"/>
      <c r="Z72" s="4"/>
      <c r="AA72" s="4"/>
      <c r="AB72" s="4"/>
      <c r="AC72" s="5"/>
    </row>
    <row r="73" spans="17:29" x14ac:dyDescent="0.35">
      <c r="Q73" s="6"/>
      <c r="R73" s="6"/>
      <c r="S73" s="6"/>
      <c r="T73" s="5"/>
      <c r="U73" s="4"/>
      <c r="V73" s="4"/>
      <c r="W73" s="4"/>
      <c r="X73" s="4"/>
      <c r="Y73" s="4"/>
      <c r="Z73" s="4"/>
      <c r="AA73" s="4"/>
      <c r="AB73" s="4"/>
      <c r="AC73" s="5"/>
    </row>
    <row r="74" spans="17:29" x14ac:dyDescent="0.35">
      <c r="Q74" s="6"/>
      <c r="R74" s="6"/>
      <c r="S74" s="6"/>
      <c r="T74" s="5"/>
      <c r="U74" s="4"/>
      <c r="V74" s="4"/>
      <c r="W74" s="4"/>
      <c r="X74" s="4"/>
      <c r="Y74" s="4"/>
      <c r="Z74" s="4"/>
      <c r="AA74" s="4"/>
      <c r="AB74" s="4"/>
      <c r="AC74" s="5"/>
    </row>
    <row r="75" spans="17:29" x14ac:dyDescent="0.35">
      <c r="Q75" s="6"/>
      <c r="R75" s="6"/>
      <c r="S75" s="6"/>
      <c r="T75" s="5"/>
      <c r="U75" s="4"/>
      <c r="V75" s="4"/>
      <c r="W75" s="4"/>
      <c r="X75" s="4"/>
      <c r="Y75" s="4"/>
      <c r="Z75" s="4"/>
      <c r="AA75" s="4"/>
      <c r="AB75" s="4"/>
      <c r="AC75" s="5"/>
    </row>
    <row r="76" spans="17:29" x14ac:dyDescent="0.35">
      <c r="Q76" s="6"/>
      <c r="R76" s="6"/>
      <c r="S76" s="6"/>
      <c r="T76" s="5"/>
      <c r="U76" s="4"/>
      <c r="V76" s="4"/>
      <c r="W76" s="4"/>
      <c r="X76" s="4"/>
      <c r="Y76" s="4"/>
      <c r="Z76" s="4"/>
      <c r="AA76" s="4"/>
      <c r="AB76" s="4"/>
      <c r="AC76" s="5"/>
    </row>
    <row r="77" spans="17:29" x14ac:dyDescent="0.35">
      <c r="Q77" s="6"/>
      <c r="R77" s="6"/>
      <c r="S77" s="6"/>
      <c r="T77" s="5"/>
      <c r="U77" s="4"/>
      <c r="V77" s="4"/>
      <c r="W77" s="4"/>
      <c r="X77" s="4"/>
      <c r="Y77" s="4"/>
      <c r="Z77" s="4"/>
      <c r="AA77" s="4"/>
      <c r="AB77" s="4"/>
      <c r="AC77" s="5"/>
    </row>
    <row r="78" spans="17:29" x14ac:dyDescent="0.35">
      <c r="Q78" s="6"/>
      <c r="R78" s="6"/>
      <c r="S78" s="6"/>
      <c r="T78" s="5"/>
      <c r="U78" s="4"/>
      <c r="V78" s="4"/>
      <c r="W78" s="4"/>
      <c r="X78" s="4"/>
      <c r="Y78" s="4"/>
      <c r="Z78" s="4"/>
      <c r="AA78" s="4"/>
      <c r="AB78" s="4"/>
      <c r="AC78" s="5"/>
    </row>
    <row r="79" spans="17:29" x14ac:dyDescent="0.35">
      <c r="Q79" s="6"/>
      <c r="R79" s="6"/>
      <c r="S79" s="6"/>
      <c r="T79" s="5"/>
      <c r="U79" s="4"/>
      <c r="V79" s="4"/>
      <c r="W79" s="4"/>
      <c r="X79" s="4"/>
      <c r="Y79" s="4"/>
      <c r="Z79" s="4"/>
      <c r="AA79" s="4"/>
      <c r="AB79" s="4"/>
      <c r="AC79" s="5"/>
    </row>
    <row r="80" spans="17:29" x14ac:dyDescent="0.35">
      <c r="Q80" s="6"/>
      <c r="R80" s="6"/>
      <c r="S80" s="6"/>
      <c r="T80" s="5"/>
      <c r="U80" s="4"/>
      <c r="V80" s="4"/>
      <c r="W80" s="4"/>
      <c r="X80" s="4"/>
      <c r="Y80" s="4"/>
      <c r="Z80" s="4"/>
      <c r="AA80" s="4"/>
      <c r="AB80" s="4"/>
      <c r="AC80" s="5"/>
    </row>
    <row r="81" spans="17:29" x14ac:dyDescent="0.35">
      <c r="Q81" s="6"/>
      <c r="R81" s="6"/>
      <c r="S81" s="6"/>
      <c r="T81" s="5"/>
      <c r="U81" s="4"/>
      <c r="V81" s="4"/>
      <c r="W81" s="4"/>
      <c r="X81" s="4"/>
      <c r="Y81" s="4"/>
      <c r="Z81" s="4"/>
      <c r="AA81" s="4"/>
      <c r="AB81" s="4"/>
      <c r="AC81" s="5"/>
    </row>
    <row r="82" spans="17:29" x14ac:dyDescent="0.35">
      <c r="Q82" s="6"/>
      <c r="R82" s="6"/>
      <c r="S82" s="6"/>
      <c r="T82" s="5"/>
      <c r="U82" s="4"/>
      <c r="V82" s="4"/>
      <c r="W82" s="4"/>
      <c r="X82" s="4"/>
      <c r="Y82" s="4"/>
      <c r="Z82" s="4"/>
      <c r="AA82" s="4"/>
      <c r="AB82" s="4"/>
      <c r="AC82" s="5"/>
    </row>
    <row r="83" spans="17:29" x14ac:dyDescent="0.35">
      <c r="Q83" s="6"/>
      <c r="R83" s="6"/>
      <c r="S83" s="6"/>
      <c r="T83" s="5"/>
      <c r="U83" s="4"/>
      <c r="V83" s="4"/>
      <c r="W83" s="4"/>
      <c r="X83" s="4"/>
      <c r="Y83" s="4"/>
      <c r="Z83" s="4"/>
      <c r="AA83" s="4"/>
      <c r="AB83" s="4"/>
      <c r="AC83" s="5"/>
    </row>
    <row r="84" spans="17:29" x14ac:dyDescent="0.35">
      <c r="Q84" s="6"/>
      <c r="R84" s="6"/>
      <c r="S84" s="6"/>
      <c r="T84" s="5"/>
      <c r="U84" s="4"/>
      <c r="V84" s="4"/>
      <c r="W84" s="4"/>
      <c r="X84" s="4"/>
      <c r="Y84" s="4"/>
      <c r="Z84" s="4"/>
      <c r="AA84" s="4"/>
      <c r="AB84" s="4"/>
      <c r="AC84" s="5"/>
    </row>
    <row r="85" spans="17:29" x14ac:dyDescent="0.35">
      <c r="Q85" s="6"/>
      <c r="R85" s="6"/>
      <c r="S85" s="6"/>
      <c r="T85" s="5"/>
      <c r="U85" s="4"/>
      <c r="V85" s="4"/>
      <c r="W85" s="4"/>
      <c r="X85" s="4"/>
      <c r="Y85" s="4"/>
      <c r="Z85" s="4"/>
      <c r="AA85" s="4"/>
      <c r="AB85" s="4"/>
      <c r="AC85" s="5"/>
    </row>
    <row r="86" spans="17:29" x14ac:dyDescent="0.35">
      <c r="Q86" s="6"/>
      <c r="R86" s="6"/>
      <c r="S86" s="6"/>
      <c r="T86" s="5"/>
      <c r="U86" s="4"/>
      <c r="V86" s="4"/>
      <c r="W86" s="4"/>
      <c r="X86" s="4"/>
      <c r="Y86" s="4"/>
      <c r="Z86" s="4"/>
      <c r="AA86" s="4"/>
      <c r="AB86" s="4"/>
      <c r="AC86" s="5"/>
    </row>
    <row r="87" spans="17:29" x14ac:dyDescent="0.35">
      <c r="Q87" s="6"/>
      <c r="R87" s="6"/>
      <c r="S87" s="6"/>
      <c r="T87" s="5"/>
      <c r="U87" s="4"/>
      <c r="V87" s="4"/>
      <c r="W87" s="4"/>
      <c r="X87" s="4"/>
      <c r="Y87" s="4"/>
      <c r="Z87" s="4"/>
      <c r="AA87" s="4"/>
      <c r="AB87" s="4"/>
      <c r="AC87" s="5"/>
    </row>
    <row r="88" spans="17:29" x14ac:dyDescent="0.35">
      <c r="Q88" s="6"/>
      <c r="R88" s="6"/>
      <c r="S88" s="6"/>
      <c r="T88" s="5"/>
      <c r="U88" s="4"/>
      <c r="V88" s="4"/>
      <c r="W88" s="4"/>
      <c r="X88" s="4"/>
      <c r="Y88" s="4"/>
      <c r="Z88" s="4"/>
      <c r="AA88" s="4"/>
      <c r="AB88" s="4"/>
      <c r="AC88" s="5"/>
    </row>
    <row r="89" spans="17:29" x14ac:dyDescent="0.35">
      <c r="Q89" s="6"/>
      <c r="R89" s="6"/>
      <c r="S89" s="6"/>
      <c r="T89" s="5"/>
      <c r="U89" s="4"/>
      <c r="V89" s="4"/>
      <c r="W89" s="4"/>
      <c r="X89" s="4"/>
      <c r="Y89" s="4"/>
      <c r="Z89" s="4"/>
      <c r="AA89" s="4"/>
      <c r="AB89" s="4"/>
      <c r="AC89" s="5"/>
    </row>
    <row r="90" spans="17:29" x14ac:dyDescent="0.35">
      <c r="Q90" s="6"/>
      <c r="R90" s="6"/>
      <c r="S90" s="6"/>
      <c r="T90" s="5"/>
      <c r="U90" s="4"/>
      <c r="V90" s="4"/>
      <c r="W90" s="4"/>
      <c r="X90" s="4"/>
      <c r="Y90" s="4"/>
      <c r="Z90" s="4"/>
      <c r="AA90" s="4"/>
      <c r="AB90" s="4"/>
      <c r="AC90" s="5"/>
    </row>
    <row r="91" spans="17:29" x14ac:dyDescent="0.35">
      <c r="Q91" s="6"/>
      <c r="R91" s="6"/>
      <c r="S91" s="6"/>
      <c r="T91" s="5"/>
      <c r="U91" s="4"/>
      <c r="V91" s="4"/>
      <c r="W91" s="4"/>
      <c r="X91" s="4"/>
      <c r="Y91" s="4"/>
      <c r="Z91" s="4"/>
      <c r="AA91" s="4"/>
      <c r="AB91" s="4"/>
      <c r="AC91" s="5"/>
    </row>
    <row r="92" spans="17:29" x14ac:dyDescent="0.35">
      <c r="Q92" s="6"/>
      <c r="R92" s="6"/>
      <c r="S92" s="6"/>
      <c r="T92" s="5"/>
      <c r="U92" s="4"/>
      <c r="V92" s="4"/>
      <c r="W92" s="4"/>
      <c r="X92" s="4"/>
      <c r="Y92" s="4"/>
      <c r="Z92" s="4"/>
      <c r="AA92" s="4"/>
      <c r="AB92" s="4"/>
      <c r="AC92" s="5"/>
    </row>
    <row r="93" spans="17:29" x14ac:dyDescent="0.35">
      <c r="Q93" s="6"/>
      <c r="R93" s="6"/>
      <c r="S93" s="6"/>
      <c r="T93" s="5"/>
      <c r="U93" s="4"/>
      <c r="V93" s="4"/>
      <c r="W93" s="4"/>
      <c r="X93" s="4"/>
      <c r="Y93" s="4"/>
      <c r="Z93" s="4"/>
      <c r="AA93" s="4"/>
      <c r="AB93" s="4"/>
      <c r="AC93" s="5"/>
    </row>
    <row r="94" spans="17:29" x14ac:dyDescent="0.35">
      <c r="Q94" s="6"/>
      <c r="R94" s="6"/>
      <c r="S94" s="6"/>
      <c r="T94" s="5"/>
      <c r="U94" s="4"/>
      <c r="V94" s="4"/>
      <c r="W94" s="4"/>
      <c r="X94" s="4"/>
      <c r="Y94" s="4"/>
      <c r="Z94" s="4"/>
      <c r="AA94" s="4"/>
      <c r="AB94" s="4"/>
      <c r="AC94" s="5"/>
    </row>
    <row r="95" spans="17:29" x14ac:dyDescent="0.35">
      <c r="Q95" s="6"/>
      <c r="R95" s="6"/>
      <c r="S95" s="6"/>
      <c r="T95" s="5"/>
      <c r="U95" s="4"/>
      <c r="V95" s="4"/>
      <c r="W95" s="4"/>
      <c r="X95" s="4"/>
      <c r="Y95" s="4"/>
      <c r="Z95" s="4"/>
      <c r="AA95" s="4"/>
      <c r="AB95" s="4"/>
      <c r="AC95" s="5"/>
    </row>
    <row r="96" spans="17:29" x14ac:dyDescent="0.35">
      <c r="Q96" s="6"/>
      <c r="R96" s="6"/>
      <c r="S96" s="6"/>
      <c r="T96" s="5"/>
      <c r="U96" s="4"/>
      <c r="V96" s="4"/>
      <c r="W96" s="4"/>
      <c r="X96" s="4"/>
      <c r="Y96" s="4"/>
      <c r="Z96" s="4"/>
      <c r="AA96" s="4"/>
      <c r="AB96" s="4"/>
      <c r="AC96" s="5"/>
    </row>
    <row r="97" spans="17:29" x14ac:dyDescent="0.35">
      <c r="Q97" s="6"/>
      <c r="R97" s="6"/>
      <c r="S97" s="6"/>
      <c r="T97" s="5"/>
      <c r="U97" s="4"/>
      <c r="V97" s="4"/>
      <c r="W97" s="4"/>
      <c r="X97" s="4"/>
      <c r="Y97" s="4"/>
      <c r="Z97" s="4"/>
      <c r="AA97" s="4"/>
      <c r="AB97" s="4"/>
      <c r="AC97" s="5"/>
    </row>
    <row r="98" spans="17:29" x14ac:dyDescent="0.35">
      <c r="Q98" s="6"/>
      <c r="R98" s="6"/>
      <c r="S98" s="6"/>
      <c r="T98" s="5"/>
      <c r="U98" s="4"/>
      <c r="V98" s="4"/>
      <c r="W98" s="4"/>
      <c r="X98" s="4"/>
      <c r="Y98" s="4"/>
      <c r="Z98" s="4"/>
      <c r="AA98" s="4"/>
      <c r="AB98" s="4"/>
      <c r="AC98" s="5"/>
    </row>
    <row r="99" spans="17:29" x14ac:dyDescent="0.35">
      <c r="Q99" s="6"/>
      <c r="R99" s="6"/>
      <c r="S99" s="6"/>
      <c r="T99" s="5"/>
      <c r="U99" s="4"/>
      <c r="V99" s="4"/>
      <c r="W99" s="4"/>
      <c r="X99" s="4"/>
      <c r="Y99" s="4"/>
      <c r="Z99" s="4"/>
      <c r="AA99" s="4"/>
      <c r="AB99" s="4"/>
      <c r="AC99" s="5"/>
    </row>
    <row r="100" spans="17:29" x14ac:dyDescent="0.35">
      <c r="Q100" s="6"/>
      <c r="R100" s="6"/>
      <c r="S100" s="6"/>
      <c r="T100" s="5"/>
      <c r="U100" s="4"/>
      <c r="V100" s="4"/>
      <c r="W100" s="4"/>
      <c r="X100" s="4"/>
      <c r="Y100" s="4"/>
      <c r="Z100" s="4"/>
      <c r="AA100" s="4"/>
      <c r="AB100" s="4"/>
      <c r="AC100" s="5"/>
    </row>
    <row r="101" spans="17:29" x14ac:dyDescent="0.35">
      <c r="Q101" s="6"/>
      <c r="R101" s="6"/>
      <c r="S101" s="6"/>
      <c r="T101" s="5"/>
      <c r="U101" s="4"/>
      <c r="V101" s="4"/>
      <c r="W101" s="4"/>
      <c r="X101" s="4"/>
      <c r="Y101" s="4"/>
      <c r="Z101" s="4"/>
      <c r="AA101" s="4"/>
      <c r="AB101" s="4"/>
      <c r="AC101" s="5"/>
    </row>
    <row r="102" spans="17:29" x14ac:dyDescent="0.35">
      <c r="Q102" s="6"/>
      <c r="R102" s="6"/>
      <c r="S102" s="6"/>
      <c r="T102" s="5"/>
      <c r="U102" s="4"/>
      <c r="V102" s="4"/>
      <c r="W102" s="4"/>
      <c r="X102" s="4"/>
      <c r="Y102" s="4"/>
      <c r="Z102" s="4"/>
      <c r="AA102" s="4"/>
      <c r="AB102" s="4"/>
      <c r="AC102" s="5"/>
    </row>
    <row r="103" spans="17:29" x14ac:dyDescent="0.35">
      <c r="Q103" s="6"/>
      <c r="R103" s="6"/>
      <c r="S103" s="6"/>
      <c r="T103" s="5"/>
      <c r="U103" s="4"/>
      <c r="V103" s="4"/>
      <c r="W103" s="4"/>
      <c r="X103" s="4"/>
      <c r="Y103" s="4"/>
      <c r="Z103" s="4"/>
      <c r="AA103" s="4"/>
      <c r="AB103" s="4"/>
      <c r="AC103" s="5"/>
    </row>
    <row r="104" spans="17:29" x14ac:dyDescent="0.35">
      <c r="Q104" s="6"/>
      <c r="R104" s="6"/>
      <c r="S104" s="6"/>
      <c r="T104" s="5"/>
      <c r="U104" s="4"/>
      <c r="V104" s="4"/>
      <c r="W104" s="4"/>
      <c r="X104" s="4"/>
      <c r="Y104" s="4"/>
      <c r="Z104" s="4"/>
      <c r="AA104" s="4"/>
      <c r="AB104" s="4"/>
      <c r="AC104" s="5"/>
    </row>
    <row r="105" spans="17:29" x14ac:dyDescent="0.35">
      <c r="Q105" s="6"/>
      <c r="R105" s="6"/>
      <c r="S105" s="6"/>
      <c r="T105" s="5"/>
      <c r="U105" s="4"/>
      <c r="V105" s="4"/>
      <c r="W105" s="4"/>
      <c r="X105" s="4"/>
      <c r="Y105" s="4"/>
      <c r="Z105" s="4"/>
      <c r="AA105" s="4"/>
      <c r="AB105" s="4"/>
      <c r="AC105" s="5"/>
    </row>
    <row r="106" spans="17:29" x14ac:dyDescent="0.35">
      <c r="Q106" s="6"/>
      <c r="R106" s="6"/>
      <c r="S106" s="6"/>
      <c r="T106" s="5"/>
      <c r="U106" s="4"/>
      <c r="V106" s="4"/>
      <c r="W106" s="4"/>
      <c r="X106" s="4"/>
      <c r="Y106" s="4"/>
      <c r="Z106" s="4"/>
      <c r="AA106" s="4"/>
      <c r="AB106" s="4"/>
      <c r="AC106" s="5"/>
    </row>
    <row r="107" spans="17:29" x14ac:dyDescent="0.35">
      <c r="Q107" s="6"/>
      <c r="R107" s="6"/>
      <c r="S107" s="6"/>
      <c r="T107" s="5"/>
      <c r="U107" s="4"/>
      <c r="V107" s="4"/>
      <c r="W107" s="4"/>
      <c r="X107" s="4"/>
      <c r="Y107" s="4"/>
      <c r="Z107" s="4"/>
      <c r="AA107" s="4"/>
      <c r="AB107" s="4"/>
      <c r="AC107" s="5"/>
    </row>
    <row r="108" spans="17:29" x14ac:dyDescent="0.35">
      <c r="Q108" s="6"/>
      <c r="R108" s="6"/>
      <c r="S108" s="6"/>
      <c r="T108" s="5"/>
      <c r="U108" s="4"/>
      <c r="V108" s="4"/>
      <c r="W108" s="4"/>
      <c r="X108" s="4"/>
      <c r="Y108" s="4"/>
      <c r="Z108" s="4"/>
      <c r="AA108" s="4"/>
      <c r="AB108" s="4"/>
      <c r="AC108" s="5"/>
    </row>
    <row r="109" spans="17:29" x14ac:dyDescent="0.35">
      <c r="Q109" s="6"/>
      <c r="R109" s="6"/>
      <c r="S109" s="6"/>
      <c r="T109" s="5"/>
      <c r="U109" s="4"/>
      <c r="V109" s="4"/>
      <c r="W109" s="4"/>
      <c r="X109" s="4"/>
      <c r="Y109" s="4"/>
      <c r="Z109" s="4"/>
      <c r="AA109" s="4"/>
      <c r="AB109" s="4"/>
      <c r="AC109" s="5"/>
    </row>
    <row r="110" spans="17:29" x14ac:dyDescent="0.35">
      <c r="Q110" s="6"/>
      <c r="R110" s="6"/>
      <c r="S110" s="6"/>
      <c r="T110" s="5"/>
      <c r="U110" s="4"/>
      <c r="V110" s="4"/>
      <c r="W110" s="4"/>
      <c r="X110" s="4"/>
      <c r="Y110" s="4"/>
      <c r="Z110" s="4"/>
      <c r="AA110" s="4"/>
      <c r="AB110" s="4"/>
      <c r="AC110" s="5"/>
    </row>
    <row r="111" spans="17:29" x14ac:dyDescent="0.35">
      <c r="Q111" s="6"/>
      <c r="R111" s="6"/>
      <c r="S111" s="6"/>
      <c r="T111" s="5"/>
      <c r="U111" s="4"/>
      <c r="V111" s="4"/>
      <c r="W111" s="4"/>
      <c r="X111" s="4"/>
      <c r="Y111" s="4"/>
      <c r="Z111" s="4"/>
      <c r="AA111" s="4"/>
      <c r="AB111" s="4"/>
      <c r="AC111" s="5"/>
    </row>
    <row r="112" spans="17:29" x14ac:dyDescent="0.35">
      <c r="Q112" s="6"/>
      <c r="R112" s="6"/>
      <c r="S112" s="6"/>
      <c r="T112" s="5"/>
      <c r="U112" s="4"/>
      <c r="V112" s="4"/>
      <c r="W112" s="4"/>
      <c r="X112" s="4"/>
      <c r="Y112" s="4"/>
      <c r="Z112" s="4"/>
      <c r="AA112" s="4"/>
      <c r="AB112" s="4"/>
      <c r="AC112" s="5"/>
    </row>
    <row r="113" spans="17:29" x14ac:dyDescent="0.35">
      <c r="Q113" s="6"/>
      <c r="R113" s="6"/>
      <c r="S113" s="6"/>
      <c r="T113" s="5"/>
      <c r="U113" s="4"/>
      <c r="V113" s="4"/>
      <c r="W113" s="4"/>
      <c r="X113" s="4"/>
      <c r="Y113" s="4"/>
      <c r="Z113" s="4"/>
      <c r="AA113" s="4"/>
      <c r="AB113" s="4"/>
      <c r="AC113" s="5"/>
    </row>
    <row r="114" spans="17:29" x14ac:dyDescent="0.35">
      <c r="Q114" s="6"/>
      <c r="R114" s="6"/>
      <c r="S114" s="6"/>
      <c r="T114" s="5"/>
      <c r="U114" s="4"/>
      <c r="V114" s="4"/>
      <c r="W114" s="4"/>
      <c r="X114" s="4"/>
      <c r="Y114" s="4"/>
      <c r="Z114" s="4"/>
      <c r="AA114" s="4"/>
      <c r="AB114" s="4"/>
      <c r="AC114" s="5"/>
    </row>
    <row r="115" spans="17:29" x14ac:dyDescent="0.35">
      <c r="Q115" s="6"/>
      <c r="R115" s="6"/>
      <c r="S115" s="6"/>
      <c r="T115" s="5"/>
      <c r="U115" s="4"/>
      <c r="V115" s="4"/>
      <c r="W115" s="4"/>
      <c r="X115" s="4"/>
      <c r="Y115" s="4"/>
      <c r="Z115" s="4"/>
      <c r="AA115" s="4"/>
      <c r="AB115" s="4"/>
      <c r="AC115" s="5"/>
    </row>
    <row r="116" spans="17:29" x14ac:dyDescent="0.35">
      <c r="Q116" s="6"/>
      <c r="R116" s="6"/>
      <c r="S116" s="6"/>
      <c r="T116" s="5"/>
      <c r="U116" s="4"/>
      <c r="V116" s="4"/>
      <c r="W116" s="4"/>
      <c r="X116" s="4"/>
      <c r="Y116" s="4"/>
      <c r="Z116" s="4"/>
      <c r="AA116" s="4"/>
      <c r="AB116" s="4"/>
      <c r="AC116" s="5"/>
    </row>
    <row r="117" spans="17:29" x14ac:dyDescent="0.35">
      <c r="Q117" s="6"/>
      <c r="R117" s="6"/>
      <c r="S117" s="6"/>
      <c r="T117" s="5"/>
      <c r="U117" s="4"/>
      <c r="V117" s="4"/>
      <c r="W117" s="4"/>
      <c r="X117" s="4"/>
      <c r="Y117" s="4"/>
      <c r="Z117" s="4"/>
      <c r="AA117" s="4"/>
      <c r="AB117" s="4"/>
      <c r="AC117" s="5"/>
    </row>
    <row r="118" spans="17:29" x14ac:dyDescent="0.35">
      <c r="Q118" s="6"/>
      <c r="R118" s="6"/>
      <c r="S118" s="6"/>
      <c r="T118" s="5"/>
      <c r="U118" s="4"/>
      <c r="V118" s="4"/>
      <c r="W118" s="4"/>
      <c r="X118" s="4"/>
      <c r="Y118" s="4"/>
      <c r="Z118" s="4"/>
      <c r="AA118" s="4"/>
      <c r="AB118" s="4"/>
      <c r="AC118" s="5"/>
    </row>
    <row r="119" spans="17:29" x14ac:dyDescent="0.35">
      <c r="Q119" s="6"/>
      <c r="R119" s="6"/>
      <c r="S119" s="6"/>
      <c r="T119" s="5"/>
      <c r="U119" s="4"/>
      <c r="V119" s="4"/>
      <c r="W119" s="4"/>
      <c r="X119" s="4"/>
      <c r="Y119" s="4"/>
      <c r="Z119" s="4"/>
      <c r="AA119" s="4"/>
      <c r="AB119" s="4"/>
      <c r="AC119" s="5"/>
    </row>
    <row r="120" spans="17:29" x14ac:dyDescent="0.35">
      <c r="Q120" s="6"/>
      <c r="R120" s="6"/>
      <c r="S120" s="6"/>
      <c r="T120" s="5"/>
      <c r="U120" s="4"/>
      <c r="V120" s="4"/>
      <c r="W120" s="4"/>
      <c r="X120" s="4"/>
      <c r="Y120" s="4"/>
      <c r="Z120" s="4"/>
      <c r="AA120" s="4"/>
      <c r="AB120" s="4"/>
      <c r="AC120" s="5"/>
    </row>
    <row r="121" spans="17:29" x14ac:dyDescent="0.35">
      <c r="Q121" s="6"/>
      <c r="R121" s="6"/>
      <c r="S121" s="6"/>
      <c r="T121" s="5"/>
      <c r="U121" s="4"/>
      <c r="V121" s="4"/>
      <c r="W121" s="4"/>
      <c r="X121" s="4"/>
      <c r="Y121" s="4"/>
      <c r="Z121" s="4"/>
      <c r="AA121" s="4"/>
      <c r="AB121" s="4"/>
      <c r="AC121" s="5"/>
    </row>
    <row r="122" spans="17:29" x14ac:dyDescent="0.35">
      <c r="Q122" s="6"/>
      <c r="R122" s="6"/>
      <c r="S122" s="6"/>
      <c r="T122" s="5"/>
      <c r="U122" s="4"/>
      <c r="V122" s="4"/>
      <c r="W122" s="4"/>
      <c r="X122" s="4"/>
      <c r="Y122" s="4"/>
      <c r="Z122" s="4"/>
      <c r="AA122" s="4"/>
      <c r="AB122" s="4"/>
      <c r="AC122" s="5"/>
    </row>
    <row r="123" spans="17:29" x14ac:dyDescent="0.35">
      <c r="Q123" s="6"/>
      <c r="R123" s="6"/>
      <c r="S123" s="6"/>
      <c r="T123" s="5"/>
      <c r="U123" s="4"/>
      <c r="V123" s="4"/>
      <c r="W123" s="4"/>
      <c r="X123" s="4"/>
      <c r="Y123" s="4"/>
      <c r="Z123" s="4"/>
      <c r="AA123" s="4"/>
      <c r="AB123" s="4"/>
      <c r="AC123" s="5"/>
    </row>
    <row r="124" spans="17:29" x14ac:dyDescent="0.35">
      <c r="Q124" s="6"/>
      <c r="R124" s="6"/>
      <c r="S124" s="6"/>
      <c r="T124" s="5"/>
      <c r="U124" s="4"/>
      <c r="V124" s="4"/>
      <c r="W124" s="4"/>
      <c r="X124" s="4"/>
      <c r="Y124" s="4"/>
      <c r="Z124" s="4"/>
      <c r="AA124" s="4"/>
      <c r="AB124" s="4"/>
      <c r="AC124" s="5"/>
    </row>
    <row r="125" spans="17:29" x14ac:dyDescent="0.35">
      <c r="Q125" s="6"/>
      <c r="R125" s="6"/>
      <c r="S125" s="6"/>
      <c r="T125" s="5"/>
      <c r="U125" s="4"/>
      <c r="V125" s="4"/>
      <c r="W125" s="4"/>
      <c r="X125" s="4"/>
      <c r="Y125" s="4"/>
      <c r="Z125" s="4"/>
      <c r="AA125" s="4"/>
      <c r="AB125" s="4"/>
      <c r="AC125" s="5"/>
    </row>
    <row r="126" spans="17:29" x14ac:dyDescent="0.35">
      <c r="Q126" s="6"/>
      <c r="R126" s="6"/>
      <c r="S126" s="6"/>
      <c r="T126" s="5"/>
      <c r="U126" s="4"/>
      <c r="V126" s="4"/>
      <c r="W126" s="4"/>
      <c r="X126" s="4"/>
      <c r="Y126" s="4"/>
      <c r="Z126" s="4"/>
      <c r="AA126" s="4"/>
      <c r="AB126" s="4"/>
      <c r="AC126" s="5"/>
    </row>
    <row r="127" spans="17:29" x14ac:dyDescent="0.35">
      <c r="Q127" s="6"/>
      <c r="R127" s="6"/>
      <c r="S127" s="6"/>
      <c r="T127" s="5"/>
      <c r="U127" s="4"/>
      <c r="V127" s="4"/>
      <c r="W127" s="4"/>
      <c r="X127" s="4"/>
      <c r="Y127" s="4"/>
      <c r="Z127" s="4"/>
      <c r="AA127" s="4"/>
      <c r="AB127" s="4"/>
      <c r="AC127" s="5"/>
    </row>
    <row r="128" spans="17:29" x14ac:dyDescent="0.35">
      <c r="Q128" s="6"/>
      <c r="R128" s="6"/>
      <c r="S128" s="6"/>
      <c r="T128" s="5"/>
      <c r="U128" s="4"/>
      <c r="V128" s="4"/>
      <c r="W128" s="4"/>
      <c r="X128" s="4"/>
      <c r="Y128" s="4"/>
      <c r="Z128" s="4"/>
      <c r="AA128" s="4"/>
      <c r="AB128" s="4"/>
      <c r="AC128" s="5"/>
    </row>
    <row r="129" spans="17:31" x14ac:dyDescent="0.35">
      <c r="Q129" s="6"/>
      <c r="R129" s="6"/>
      <c r="S129" s="6"/>
      <c r="T129" s="5"/>
      <c r="U129" s="4"/>
      <c r="V129" s="4"/>
      <c r="W129" s="4"/>
      <c r="X129" s="4"/>
      <c r="Y129" s="4"/>
      <c r="Z129" s="4"/>
      <c r="AA129" s="4"/>
      <c r="AB129" s="4"/>
      <c r="AC129" s="5"/>
    </row>
    <row r="130" spans="17:31" x14ac:dyDescent="0.35">
      <c r="Q130" s="6"/>
      <c r="R130" s="6"/>
      <c r="S130" s="6"/>
      <c r="T130" s="5"/>
      <c r="U130" s="4"/>
      <c r="V130" s="4"/>
      <c r="W130" s="4"/>
      <c r="X130" s="4"/>
      <c r="Y130" s="4"/>
      <c r="Z130" s="4"/>
      <c r="AA130" s="4"/>
      <c r="AB130" s="4"/>
      <c r="AC130" s="5"/>
    </row>
    <row r="131" spans="17:31" x14ac:dyDescent="0.35">
      <c r="Q131" s="6"/>
      <c r="R131" s="6"/>
      <c r="S131" s="6"/>
      <c r="T131" s="5"/>
      <c r="U131" s="4"/>
      <c r="V131" s="4"/>
      <c r="W131" s="4"/>
      <c r="X131" s="4"/>
      <c r="Y131" s="4"/>
      <c r="Z131" s="4"/>
      <c r="AA131" s="4"/>
      <c r="AB131" s="4"/>
      <c r="AC131" s="5"/>
    </row>
    <row r="132" spans="17:31" x14ac:dyDescent="0.35">
      <c r="Q132" s="6"/>
      <c r="R132" s="6"/>
      <c r="S132" s="6"/>
      <c r="T132" s="5"/>
      <c r="U132" s="4"/>
      <c r="V132" s="4"/>
      <c r="W132" s="4"/>
      <c r="X132" s="4"/>
      <c r="Y132" s="4"/>
      <c r="Z132" s="4"/>
      <c r="AA132" s="4"/>
      <c r="AB132" s="4"/>
      <c r="AC132" s="5"/>
    </row>
    <row r="133" spans="17:31" x14ac:dyDescent="0.35">
      <c r="Q133" s="6"/>
      <c r="R133" s="6"/>
      <c r="S133" s="6"/>
      <c r="T133" s="5"/>
      <c r="U133" s="4"/>
      <c r="V133" s="4"/>
      <c r="W133" s="4"/>
      <c r="X133" s="4"/>
      <c r="Y133" s="4"/>
      <c r="Z133" s="4"/>
      <c r="AA133" s="4"/>
      <c r="AB133" s="4"/>
      <c r="AC133" s="5"/>
      <c r="AD133" s="3"/>
      <c r="AE133" s="4"/>
    </row>
    <row r="134" spans="17:31" x14ac:dyDescent="0.35">
      <c r="Q134" s="6"/>
      <c r="R134" s="6"/>
      <c r="S134" s="6"/>
      <c r="T134" s="5"/>
      <c r="U134" s="4"/>
      <c r="V134" s="4"/>
      <c r="W134" s="4"/>
      <c r="X134" s="4"/>
      <c r="Y134" s="4"/>
      <c r="Z134" s="4"/>
      <c r="AA134" s="4"/>
      <c r="AB134" s="4"/>
      <c r="AC134" s="5"/>
      <c r="AD134" s="3"/>
      <c r="AE134" s="4"/>
    </row>
    <row r="135" spans="17:31" x14ac:dyDescent="0.35">
      <c r="Q135" s="6"/>
      <c r="R135" s="6"/>
      <c r="S135" s="6"/>
      <c r="T135" s="5"/>
      <c r="U135" s="4"/>
      <c r="V135" s="4"/>
      <c r="W135" s="4"/>
      <c r="X135" s="4"/>
      <c r="Y135" s="4"/>
      <c r="Z135" s="4"/>
      <c r="AA135" s="4"/>
      <c r="AB135" s="4"/>
      <c r="AC135" s="5"/>
    </row>
    <row r="136" spans="17:31" x14ac:dyDescent="0.35">
      <c r="Q136" s="6"/>
      <c r="R136" s="6"/>
      <c r="S136" s="6"/>
      <c r="T136" s="5"/>
      <c r="U136" s="4"/>
      <c r="V136" s="4"/>
      <c r="W136" s="4"/>
      <c r="X136" s="4"/>
      <c r="Y136" s="4"/>
      <c r="Z136" s="4"/>
      <c r="AA136" s="4"/>
      <c r="AB136" s="4"/>
      <c r="AC136" s="5"/>
    </row>
    <row r="137" spans="17:31" x14ac:dyDescent="0.35">
      <c r="Q137" s="6"/>
      <c r="R137" s="6"/>
      <c r="S137" s="6"/>
      <c r="T137" s="5"/>
      <c r="U137" s="4"/>
      <c r="V137" s="4"/>
      <c r="W137" s="4"/>
      <c r="X137" s="4"/>
      <c r="Y137" s="4"/>
      <c r="Z137" s="4"/>
      <c r="AA137" s="4"/>
      <c r="AB137" s="4"/>
      <c r="AC137" s="5"/>
    </row>
    <row r="138" spans="17:31" x14ac:dyDescent="0.35">
      <c r="Q138" s="6"/>
      <c r="R138" s="6"/>
      <c r="S138" s="6"/>
      <c r="T138" s="5"/>
      <c r="U138" s="4"/>
      <c r="V138" s="4"/>
      <c r="W138" s="4"/>
      <c r="X138" s="4"/>
      <c r="Y138" s="4"/>
      <c r="Z138" s="4"/>
      <c r="AA138" s="4"/>
      <c r="AB138" s="4"/>
      <c r="AC138" s="5"/>
    </row>
    <row r="139" spans="17:31" x14ac:dyDescent="0.35">
      <c r="Q139" s="6"/>
      <c r="R139" s="6"/>
      <c r="S139" s="6"/>
      <c r="T139" s="5"/>
      <c r="U139" s="4"/>
      <c r="V139" s="4"/>
      <c r="W139" s="4"/>
      <c r="X139" s="4"/>
      <c r="Y139" s="4"/>
      <c r="Z139" s="4"/>
      <c r="AA139" s="4"/>
      <c r="AB139" s="4"/>
      <c r="AC139" s="5"/>
    </row>
    <row r="140" spans="17:31" x14ac:dyDescent="0.35">
      <c r="Q140" s="6"/>
      <c r="R140" s="6"/>
      <c r="S140" s="6"/>
      <c r="T140" s="5"/>
      <c r="U140" s="4"/>
      <c r="V140" s="4"/>
      <c r="W140" s="4"/>
      <c r="X140" s="4"/>
      <c r="Y140" s="4"/>
      <c r="Z140" s="4"/>
      <c r="AA140" s="4"/>
      <c r="AB140" s="4"/>
      <c r="AC140" s="5"/>
    </row>
    <row r="141" spans="17:31" x14ac:dyDescent="0.35">
      <c r="Q141" s="6"/>
      <c r="R141" s="6"/>
      <c r="S141" s="6"/>
      <c r="T141" s="5"/>
      <c r="U141" s="4"/>
      <c r="V141" s="4"/>
      <c r="W141" s="4"/>
      <c r="X141" s="4"/>
      <c r="Y141" s="4"/>
      <c r="Z141" s="4"/>
      <c r="AA141" s="4"/>
      <c r="AB141" s="4"/>
      <c r="AC141" s="5"/>
    </row>
    <row r="142" spans="17:31" x14ac:dyDescent="0.35">
      <c r="Q142" s="6"/>
      <c r="R142" s="6"/>
      <c r="S142" s="6"/>
      <c r="T142" s="5"/>
      <c r="U142" s="4"/>
      <c r="V142" s="4"/>
      <c r="W142" s="4"/>
      <c r="X142" s="4"/>
      <c r="Y142" s="4"/>
      <c r="Z142" s="4"/>
      <c r="AA142" s="4"/>
      <c r="AB142" s="4"/>
      <c r="AC142" s="5"/>
    </row>
    <row r="143" spans="17:31" x14ac:dyDescent="0.35">
      <c r="Q143" s="6"/>
      <c r="R143" s="6"/>
      <c r="S143" s="6"/>
      <c r="T143" s="5"/>
      <c r="U143" s="4"/>
      <c r="V143" s="4"/>
      <c r="W143" s="4"/>
      <c r="X143" s="4"/>
      <c r="Y143" s="4"/>
      <c r="Z143" s="4"/>
      <c r="AA143" s="4"/>
      <c r="AB143" s="4"/>
      <c r="AC143" s="5"/>
    </row>
    <row r="144" spans="17:31" x14ac:dyDescent="0.35">
      <c r="Q144" s="6"/>
      <c r="R144" s="6"/>
      <c r="S144" s="6"/>
      <c r="T144" s="5"/>
      <c r="U144" s="4"/>
      <c r="V144" s="4"/>
      <c r="W144" s="4"/>
      <c r="X144" s="4"/>
      <c r="Y144" s="4"/>
      <c r="Z144" s="4"/>
      <c r="AA144" s="4"/>
      <c r="AB144" s="4"/>
      <c r="AC144" s="5"/>
    </row>
    <row r="145" spans="17:29" x14ac:dyDescent="0.35">
      <c r="Q145" s="6"/>
      <c r="R145" s="6"/>
      <c r="S145" s="6"/>
      <c r="T145" s="5"/>
      <c r="U145" s="4"/>
      <c r="V145" s="4"/>
      <c r="W145" s="4"/>
      <c r="X145" s="4"/>
      <c r="Y145" s="4"/>
      <c r="Z145" s="4"/>
      <c r="AA145" s="4"/>
      <c r="AB145" s="4"/>
      <c r="AC145" s="5"/>
    </row>
    <row r="146" spans="17:29" x14ac:dyDescent="0.35">
      <c r="Q146" s="6"/>
      <c r="R146" s="6"/>
      <c r="S146" s="6"/>
      <c r="T146" s="5"/>
      <c r="U146" s="4"/>
      <c r="V146" s="4"/>
      <c r="W146" s="4"/>
      <c r="X146" s="4"/>
      <c r="Y146" s="4"/>
      <c r="Z146" s="4"/>
      <c r="AA146" s="4"/>
      <c r="AB146" s="4"/>
      <c r="AC146" s="5"/>
    </row>
    <row r="147" spans="17:29" x14ac:dyDescent="0.35">
      <c r="Q147" s="6"/>
      <c r="R147" s="6"/>
      <c r="S147" s="6"/>
      <c r="T147" s="5"/>
      <c r="U147" s="4"/>
      <c r="V147" s="4"/>
      <c r="W147" s="4"/>
      <c r="X147" s="4"/>
      <c r="Y147" s="4"/>
      <c r="Z147" s="4"/>
      <c r="AA147" s="4"/>
      <c r="AB147" s="4"/>
      <c r="AC147" s="5"/>
    </row>
    <row r="148" spans="17:29" x14ac:dyDescent="0.35">
      <c r="Q148" s="6"/>
      <c r="R148" s="6"/>
      <c r="S148" s="6"/>
      <c r="T148" s="5"/>
      <c r="U148" s="4"/>
      <c r="V148" s="4"/>
      <c r="W148" s="4"/>
      <c r="X148" s="4"/>
      <c r="Y148" s="4"/>
      <c r="Z148" s="4"/>
      <c r="AA148" s="4"/>
      <c r="AB148" s="4"/>
      <c r="AC148" s="5"/>
    </row>
    <row r="149" spans="17:29" x14ac:dyDescent="0.35">
      <c r="Q149" s="6"/>
      <c r="R149" s="6"/>
      <c r="S149" s="6"/>
      <c r="T149" s="5"/>
      <c r="U149" s="4"/>
      <c r="V149" s="4"/>
      <c r="W149" s="4"/>
      <c r="X149" s="4"/>
      <c r="Y149" s="4"/>
      <c r="Z149" s="4"/>
      <c r="AA149" s="4"/>
      <c r="AB149" s="4"/>
      <c r="AC149" s="5"/>
    </row>
    <row r="150" spans="17:29" x14ac:dyDescent="0.35">
      <c r="Q150" s="6"/>
      <c r="R150" s="6"/>
      <c r="S150" s="6"/>
      <c r="T150" s="5"/>
      <c r="U150" s="4"/>
      <c r="V150" s="4"/>
      <c r="W150" s="4"/>
      <c r="X150" s="4"/>
      <c r="Y150" s="4"/>
      <c r="Z150" s="4"/>
      <c r="AA150" s="4"/>
      <c r="AB150" s="4"/>
      <c r="AC150" s="5"/>
    </row>
    <row r="151" spans="17:29" x14ac:dyDescent="0.35">
      <c r="Q151" s="6"/>
      <c r="R151" s="6"/>
      <c r="S151" s="6"/>
      <c r="T151" s="5"/>
      <c r="U151" s="4"/>
      <c r="V151" s="4"/>
      <c r="W151" s="4"/>
      <c r="X151" s="4"/>
      <c r="Y151" s="4"/>
      <c r="Z151" s="4"/>
      <c r="AA151" s="4"/>
      <c r="AB151" s="4"/>
      <c r="AC151" s="5"/>
    </row>
    <row r="152" spans="17:29" x14ac:dyDescent="0.35">
      <c r="Q152" s="6"/>
      <c r="R152" s="6"/>
      <c r="S152" s="6"/>
      <c r="T152" s="9"/>
      <c r="U152" s="4"/>
      <c r="V152" s="4"/>
      <c r="W152" s="4"/>
      <c r="X152" s="4"/>
      <c r="Y152" s="4"/>
      <c r="Z152" s="4"/>
      <c r="AA152" s="4"/>
    </row>
    <row r="153" spans="17:29" x14ac:dyDescent="0.35">
      <c r="Q153" s="6"/>
      <c r="R153" s="6"/>
      <c r="S153" s="6"/>
      <c r="T153" s="9"/>
      <c r="U153" s="4"/>
      <c r="V153" s="4"/>
      <c r="W153" s="4"/>
      <c r="X153" s="4"/>
      <c r="Y153" s="4"/>
      <c r="Z153" s="4"/>
      <c r="AA153" s="4"/>
    </row>
  </sheetData>
  <autoFilter ref="B2:L52" xr:uid="{00000000-0009-0000-0000-000002000000}">
    <sortState xmlns:xlrd2="http://schemas.microsoft.com/office/spreadsheetml/2017/richdata2" ref="B3:L52">
      <sortCondition ref="K2:K52"/>
    </sortState>
  </autoFilter>
  <conditionalFormatting sqref="P2 P4:AA153">
    <cfRule type="expression" dxfId="1" priority="2">
      <formula>MOD($P2,2)=1</formula>
    </cfRule>
  </conditionalFormatting>
  <conditionalFormatting sqref="Q3:R3 T3:AA3">
    <cfRule type="expression" dxfId="0" priority="1">
      <formula>MOD($P2,2)=1</formula>
    </cfRule>
  </conditionalFormatting>
  <pageMargins left="0.7" right="0.7" top="0.75" bottom="0.75" header="0.3" footer="0.3"/>
  <pageSetup orientation="portrait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Area graph receptor</vt:lpstr>
      <vt:lpstr>'Area graph receptor'!dataSource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Rupcic</dc:creator>
  <cp:lastModifiedBy>lea rupcic</cp:lastModifiedBy>
  <dcterms:created xsi:type="dcterms:W3CDTF">2024-11-20T14:16:59Z</dcterms:created>
  <dcterms:modified xsi:type="dcterms:W3CDTF">2025-07-18T13:05:33Z</dcterms:modified>
</cp:coreProperties>
</file>